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hidePivotFieldList="1" defaultThemeVersion="202300"/>
  <mc:AlternateContent xmlns:mc="http://schemas.openxmlformats.org/markup-compatibility/2006">
    <mc:Choice Requires="x15">
      <x15ac:absPath xmlns:x15ac="http://schemas.microsoft.com/office/spreadsheetml/2010/11/ac" url="C:\Users\jhonnathan.pereira\Downloads\PROGRAMA DE IDEIAS\entrada-excel\"/>
    </mc:Choice>
  </mc:AlternateContent>
  <xr:revisionPtr revIDLastSave="0" documentId="8_{B82D2D2C-22D6-4618-AB30-28CD7C17A6D8}" xr6:coauthVersionLast="47" xr6:coauthVersionMax="47" xr10:uidLastSave="{00000000-0000-0000-0000-000000000000}"/>
  <bookViews>
    <workbookView xWindow="-110" yWindow="-110" windowWidth="19420" windowHeight="11500" tabRatio="701" activeTab="1" xr2:uid="{00000000-000D-0000-FFFF-FFFF00000000}"/>
  </bookViews>
  <sheets>
    <sheet name="Ideias Canceladas" sheetId="9" r:id="rId1"/>
    <sheet name="tabela ideias" sheetId="1" r:id="rId2"/>
    <sheet name="% Operação x adm" sheetId="2" r:id="rId3"/>
    <sheet name="Taxa de Implementação" sheetId="3" r:id="rId4"/>
    <sheet name="Ideias por categorias" sheetId="6" r:id="rId5"/>
    <sheet name="Ideias por associado" sheetId="4" r:id="rId6"/>
    <sheet name="Ideias-area" sheetId="7" r:id="rId7"/>
    <sheet name="CADASTRO" sheetId="18" r:id="rId8"/>
    <sheet name="BASE DMOS" sheetId="17" r:id="rId9"/>
  </sheets>
  <definedNames>
    <definedName name="_xlnm._FilterDatabase" localSheetId="5" hidden="1">'Ideias por associado'!$A$1:$I$69</definedName>
    <definedName name="_xlnm._FilterDatabase" localSheetId="1" hidden="1">'tabela ideias'!$A$1:$P$505</definedName>
    <definedName name="DadosExternos_1" localSheetId="7" hidden="1">'CADASTRO'!$A$1:$H$122</definedName>
    <definedName name="NativeTimeline_Criada">#N/A</definedName>
  </definedNames>
  <calcPr calcId="191028"/>
  <pivotCaches>
    <pivotCache cacheId="0" r:id="rId10"/>
    <pivotCache cacheId="1" r:id="rId11"/>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09" i="1" l="1"/>
  <c r="O608"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L30" i="9" s="1"/>
  <c r="O51" i="1"/>
  <c r="O52" i="1"/>
  <c r="O53" i="1"/>
  <c r="O54" i="1"/>
  <c r="L31" i="9" s="1"/>
  <c r="O55" i="1"/>
  <c r="O56" i="1"/>
  <c r="O57" i="1"/>
  <c r="O58" i="1"/>
  <c r="O59" i="1"/>
  <c r="O60" i="1"/>
  <c r="O61" i="1"/>
  <c r="O62" i="1"/>
  <c r="O63" i="1"/>
  <c r="O64" i="1"/>
  <c r="O65" i="1"/>
  <c r="O66" i="1"/>
  <c r="O67" i="1"/>
  <c r="O68" i="1"/>
  <c r="O69" i="1"/>
  <c r="O70" i="1"/>
  <c r="O71" i="1"/>
  <c r="O72" i="1"/>
  <c r="L22" i="9" s="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L2" i="9" s="1"/>
  <c r="O105" i="1"/>
  <c r="O106" i="1"/>
  <c r="O107" i="1"/>
  <c r="O108" i="1"/>
  <c r="O109" i="1"/>
  <c r="O110" i="1"/>
  <c r="O111" i="1"/>
  <c r="O112" i="1"/>
  <c r="O113" i="1"/>
  <c r="O114" i="1"/>
  <c r="O115" i="1"/>
  <c r="O116" i="1"/>
  <c r="L14" i="9" s="1"/>
  <c r="O117" i="1"/>
  <c r="O118" i="1"/>
  <c r="O119" i="1"/>
  <c r="O120" i="1"/>
  <c r="O121" i="1"/>
  <c r="O122" i="1"/>
  <c r="O123" i="1"/>
  <c r="O124" i="1"/>
  <c r="L24" i="9" s="1"/>
  <c r="O125" i="1"/>
  <c r="L3" i="9" s="1"/>
  <c r="O126" i="1"/>
  <c r="O127" i="1"/>
  <c r="O128" i="1"/>
  <c r="O129" i="1"/>
  <c r="L4" i="9" s="1"/>
  <c r="O130" i="1"/>
  <c r="O131" i="1"/>
  <c r="O132" i="1"/>
  <c r="O133" i="1"/>
  <c r="O134" i="1"/>
  <c r="L17" i="9" s="1"/>
  <c r="O135" i="1"/>
  <c r="O136" i="1"/>
  <c r="O137" i="1"/>
  <c r="O138" i="1"/>
  <c r="O139" i="1"/>
  <c r="O140" i="1"/>
  <c r="O141" i="1"/>
  <c r="O142" i="1"/>
  <c r="O143" i="1"/>
  <c r="O144" i="1"/>
  <c r="O145" i="1"/>
  <c r="O146" i="1"/>
  <c r="O147" i="1"/>
  <c r="L5" i="9" s="1"/>
  <c r="O148" i="1"/>
  <c r="O149" i="1"/>
  <c r="O150" i="1"/>
  <c r="O151" i="1"/>
  <c r="L6" i="9" s="1"/>
  <c r="O152" i="1"/>
  <c r="O153" i="1"/>
  <c r="O154" i="1"/>
  <c r="O155" i="1"/>
  <c r="O156" i="1"/>
  <c r="O157" i="1"/>
  <c r="O158" i="1"/>
  <c r="L7" i="9" s="1"/>
  <c r="O159" i="1"/>
  <c r="L11" i="9" s="1"/>
  <c r="O160" i="1"/>
  <c r="L8" i="9" s="1"/>
  <c r="O161" i="1"/>
  <c r="O162" i="1"/>
  <c r="O163" i="1"/>
  <c r="O164" i="1"/>
  <c r="O165" i="1"/>
  <c r="O166" i="1"/>
  <c r="O167" i="1"/>
  <c r="O168" i="1"/>
  <c r="O169" i="1"/>
  <c r="O170" i="1"/>
  <c r="O171" i="1"/>
  <c r="O172" i="1"/>
  <c r="O173" i="1"/>
  <c r="O174" i="1"/>
  <c r="O175" i="1"/>
  <c r="O176" i="1"/>
  <c r="O177" i="1"/>
  <c r="O178" i="1"/>
  <c r="O179" i="1"/>
  <c r="O180" i="1"/>
  <c r="O181" i="1"/>
  <c r="O182" i="1"/>
  <c r="O183" i="1"/>
  <c r="O184" i="1"/>
  <c r="L15" i="9" s="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L20" i="9" s="1"/>
  <c r="O238" i="1"/>
  <c r="O239" i="1"/>
  <c r="O240" i="1"/>
  <c r="O241" i="1"/>
  <c r="O242" i="1"/>
  <c r="O243" i="1"/>
  <c r="O244" i="1"/>
  <c r="O245" i="1"/>
  <c r="O246" i="1"/>
  <c r="O247" i="1"/>
  <c r="O248" i="1"/>
  <c r="O249" i="1"/>
  <c r="O250" i="1"/>
  <c r="O251" i="1"/>
  <c r="L9" i="9" s="1"/>
  <c r="O252" i="1"/>
  <c r="O253" i="1"/>
  <c r="O254" i="1"/>
  <c r="O255" i="1"/>
  <c r="O256" i="1"/>
  <c r="O257" i="1"/>
  <c r="O258" i="1"/>
  <c r="O259" i="1"/>
  <c r="O260" i="1"/>
  <c r="O261" i="1"/>
  <c r="O262" i="1"/>
  <c r="O263" i="1"/>
  <c r="L10" i="9" s="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L16" i="9" s="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L12" i="9" s="1"/>
  <c r="O319" i="1"/>
  <c r="O320" i="1"/>
  <c r="O321" i="1"/>
  <c r="O322" i="1"/>
  <c r="O323" i="1"/>
  <c r="O324" i="1"/>
  <c r="O325" i="1"/>
  <c r="O326" i="1"/>
  <c r="O327" i="1"/>
  <c r="O328" i="1"/>
  <c r="O329" i="1"/>
  <c r="O330" i="1"/>
  <c r="O331" i="1"/>
  <c r="O332" i="1"/>
  <c r="O333" i="1"/>
  <c r="O334" i="1"/>
  <c r="O335" i="1"/>
  <c r="L27" i="9" s="1"/>
  <c r="O336" i="1"/>
  <c r="O337" i="1"/>
  <c r="O338" i="1"/>
  <c r="O339" i="1"/>
  <c r="O340" i="1"/>
  <c r="O341" i="1"/>
  <c r="O342" i="1"/>
  <c r="O343" i="1"/>
  <c r="O344" i="1"/>
  <c r="O345" i="1"/>
  <c r="L26" i="9" s="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L19" i="9" s="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L13" i="9" s="1"/>
  <c r="O412" i="1"/>
  <c r="O413" i="1"/>
  <c r="O414" i="1"/>
  <c r="O415" i="1"/>
  <c r="O416" i="1"/>
  <c r="O417" i="1"/>
  <c r="O418" i="1"/>
  <c r="O419" i="1"/>
  <c r="O420" i="1"/>
  <c r="O421" i="1"/>
  <c r="L23" i="9" s="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L18" i="9" s="1"/>
  <c r="O453" i="1"/>
  <c r="O454" i="1"/>
  <c r="O455" i="1"/>
  <c r="O456" i="1"/>
  <c r="O457" i="1"/>
  <c r="O458" i="1"/>
  <c r="O459" i="1"/>
  <c r="O460" i="1"/>
  <c r="O461" i="1"/>
  <c r="L25" i="9" s="1"/>
  <c r="O462" i="1"/>
  <c r="O463" i="1"/>
  <c r="O464" i="1"/>
  <c r="O465" i="1"/>
  <c r="O466" i="1"/>
  <c r="O467" i="1"/>
  <c r="O468" i="1"/>
  <c r="O469" i="1"/>
  <c r="O470" i="1"/>
  <c r="O471" i="1"/>
  <c r="O472" i="1"/>
  <c r="O473" i="1"/>
  <c r="O474" i="1"/>
  <c r="L21" i="9" s="1"/>
  <c r="O475" i="1"/>
  <c r="O476" i="1"/>
  <c r="O477" i="1"/>
  <c r="O478" i="1"/>
  <c r="O479" i="1"/>
  <c r="O480" i="1"/>
  <c r="O481" i="1"/>
  <c r="O482" i="1"/>
  <c r="O483" i="1"/>
  <c r="O484" i="1"/>
  <c r="O485" i="1"/>
  <c r="O486" i="1"/>
  <c r="O487" i="1"/>
  <c r="O488" i="1"/>
  <c r="O489" i="1"/>
  <c r="O490" i="1"/>
  <c r="O491" i="1"/>
  <c r="O492" i="1"/>
  <c r="O493" i="1"/>
  <c r="O494" i="1"/>
  <c r="O495" i="1"/>
  <c r="O496" i="1"/>
  <c r="L28" i="9" s="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L29" i="9" s="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2" i="1" l="1"/>
  <c r="C8" i="3"/>
  <c r="F8" i="3"/>
  <c r="E3" i="4"/>
  <c r="H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tc={2A63144D-9601-4856-B8F4-E070AD23CDBC}</author>
  </authors>
  <commentList>
    <comment ref="A85" authorId="0" shapeId="0" xr:uid="{2A63144D-9601-4856-B8F4-E070AD23CDBC}">
      <text>
        <t>[Comentário encadeado]
Sua versão do Excel permite que você leia este comentário encadeado, no entanto, as edições serão removidas se o arquivo for aberto em uma versão mais recente do Excel. Saiba mais: https://go.microsoft.com/fwlink/?linkid=870924
Comentário:
    NÃO EXISTE NO DMOS AINDA</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97B479-AF4D-4680-A368-85AB8980EE00}" keepAlive="1" name="Consulta - CADASTRO" description="Conexão com a consulta 'CADASTRO' na pasta de trabalho." type="5" refreshedVersion="8" background="1" saveData="1">
    <dbPr connection="Provider=Microsoft.Mashup.OleDb.1;Data Source=$Workbook$;Location=CADASTRO;Extended Properties=&quot;&quot;" command="SELECT * FROM [CADASTRO]"/>
  </connection>
</connections>
</file>

<file path=xl/sharedStrings.xml><?xml version="1.0" encoding="utf-8"?>
<sst xmlns="http://schemas.openxmlformats.org/spreadsheetml/2006/main" count="8891" uniqueCount="2394">
  <si>
    <t>Número</t>
  </si>
  <si>
    <t>Descrição curta</t>
  </si>
  <si>
    <t>Status</t>
  </si>
  <si>
    <t>Enviado por</t>
  </si>
  <si>
    <t>Categoria</t>
  </si>
  <si>
    <t>Sub categoria</t>
  </si>
  <si>
    <t>Criada</t>
  </si>
  <si>
    <t>Área de trabalho</t>
  </si>
  <si>
    <t>Atualizado</t>
  </si>
  <si>
    <t>Atribuído</t>
  </si>
  <si>
    <t>Grupo de atribuição</t>
  </si>
  <si>
    <t>Grupo</t>
  </si>
  <si>
    <t>Motivo do Cancelamento</t>
  </si>
  <si>
    <t>FB0096684</t>
  </si>
  <si>
    <t xml:space="preserve">coloca o ponto de almoço automático </t>
  </si>
  <si>
    <t>Cancelado</t>
  </si>
  <si>
    <t>Julho Silva</t>
  </si>
  <si>
    <t>Pequena mudança local</t>
  </si>
  <si>
    <t>Cost (GE, rework)</t>
  </si>
  <si>
    <t>01. JDE CAFES DO BRASIL UNIDADE PIUMHI</t>
  </si>
  <si>
    <t>IDEIAS-MELHORIA CONTÍNUA</t>
  </si>
  <si>
    <t>FB0103691</t>
  </si>
  <si>
    <t>mudar câmara fria de lugar</t>
  </si>
  <si>
    <t>Fabricio Brant</t>
  </si>
  <si>
    <t>Safety - Health</t>
  </si>
  <si>
    <t>01. LINHA 01</t>
  </si>
  <si>
    <t>IDEIAS-VACUO</t>
  </si>
  <si>
    <t>FB0104140</t>
  </si>
  <si>
    <t>Peneira vibratória para moega de reprocesso da moagem</t>
  </si>
  <si>
    <t>Pedro Ferreira</t>
  </si>
  <si>
    <t>Processo</t>
  </si>
  <si>
    <t>03. MOAGEM</t>
  </si>
  <si>
    <t>IDEIAS-PROCESSOS</t>
  </si>
  <si>
    <t>FB0106437</t>
  </si>
  <si>
    <t>criar ponto superior de tomada para o ventilador</t>
  </si>
  <si>
    <t>Weverton Medeiro</t>
  </si>
  <si>
    <t>05. LINHA 05</t>
  </si>
  <si>
    <t>IDEIAS-ALMOFADA</t>
  </si>
  <si>
    <t>FB0106984</t>
  </si>
  <si>
    <t xml:space="preserve">Sensor de presença </t>
  </si>
  <si>
    <t>Vitor Xavier</t>
  </si>
  <si>
    <t>07. LINHA 07</t>
  </si>
  <si>
    <t>FB0107019</t>
  </si>
  <si>
    <t>01. MOINHO 01</t>
  </si>
  <si>
    <t>FB0107098</t>
  </si>
  <si>
    <t xml:space="preserve">Uma das bombas de vácuo , desliga com frequência </t>
  </si>
  <si>
    <t>Romilda Cunha</t>
  </si>
  <si>
    <t>FB0115697</t>
  </si>
  <si>
    <t xml:space="preserve">obter algum carrinho ou algo para ajudar virar os tambores de rejeitos na caçamba </t>
  </si>
  <si>
    <t>Ruth  Alves</t>
  </si>
  <si>
    <t>04. EMPACOTAMENTO</t>
  </si>
  <si>
    <t>FB0116922</t>
  </si>
  <si>
    <t>na PKD não tem um acessório específico para apertar  as aparas .</t>
  </si>
  <si>
    <t>Angela Santos</t>
  </si>
  <si>
    <t>Qualidade</t>
  </si>
  <si>
    <t>FB0107079</t>
  </si>
  <si>
    <t xml:space="preserve">manômetro de pressão </t>
  </si>
  <si>
    <t>Sara Lobato</t>
  </si>
  <si>
    <t>Relton Moraes</t>
  </si>
  <si>
    <t>FB0122221</t>
  </si>
  <si>
    <t xml:space="preserve">Suporte </t>
  </si>
  <si>
    <t>Organisation of work</t>
  </si>
  <si>
    <t>FB0131366</t>
  </si>
  <si>
    <t>ter um suporte com uma placa informando qual café está moendo nos moinhos que tem as moegas.</t>
  </si>
  <si>
    <t>Ruth Fonseca</t>
  </si>
  <si>
    <t>Angelina Destefani</t>
  </si>
  <si>
    <t>APROVADORES DE IDEIAS</t>
  </si>
  <si>
    <t>FB0100188</t>
  </si>
  <si>
    <t>instalar botoeira de emergencia na esteira do zero hora</t>
  </si>
  <si>
    <t>Andre Mendes Costa</t>
  </si>
  <si>
    <t>FB0110676</t>
  </si>
  <si>
    <t>Compra de micrômetro.</t>
  </si>
  <si>
    <t>Douglas Destefani</t>
  </si>
  <si>
    <t>09.16 Qualidade CQ</t>
  </si>
  <si>
    <t>Tais Costa</t>
  </si>
  <si>
    <t>FB0119798</t>
  </si>
  <si>
    <t xml:space="preserve">correias das Raumak  e fabrimas </t>
  </si>
  <si>
    <t>Thais Souza</t>
  </si>
  <si>
    <t>Ana Martins</t>
  </si>
  <si>
    <t>FB0104724</t>
  </si>
  <si>
    <t>elevador de canecas 1 e 3 está com vazamento de café</t>
  </si>
  <si>
    <t>Alex Teixeira</t>
  </si>
  <si>
    <t>Anderson Santana</t>
  </si>
  <si>
    <t>FB0138051</t>
  </si>
  <si>
    <t xml:space="preserve">fazer um claviculário de segurança com as chaves das escadas marinheiro no alarme de incêndio </t>
  </si>
  <si>
    <t>Arthur Silva</t>
  </si>
  <si>
    <t xml:space="preserve">09.19 SALA DE PRODUTOS QUÍMICOS </t>
  </si>
  <si>
    <t>IDEIAS-SHE</t>
  </si>
  <si>
    <t>FB0128543</t>
  </si>
  <si>
    <t>Sistema de segurança rosca película</t>
  </si>
  <si>
    <t>Moises Costa</t>
  </si>
  <si>
    <t>02. TORREFAÇÃO</t>
  </si>
  <si>
    <t>FB0114559</t>
  </si>
  <si>
    <t>acesso a parte superior dos silos</t>
  </si>
  <si>
    <t>Valdeci Simoes</t>
  </si>
  <si>
    <t>FB0143304</t>
  </si>
  <si>
    <t>Solicitação de isenção da taxa de lixo junto à prefeitura, considerando que a empresa realiza descarte de resíduos por empresa especializada.</t>
  </si>
  <si>
    <t>Ana Pereira</t>
  </si>
  <si>
    <t>06. ADMINISTRATIVO</t>
  </si>
  <si>
    <t>Samuel Camargos</t>
  </si>
  <si>
    <t>FB0088501</t>
  </si>
  <si>
    <t xml:space="preserve">Melhoria no óculos de segurança </t>
  </si>
  <si>
    <t>Edvaldo Silva</t>
  </si>
  <si>
    <t>FB0132034</t>
  </si>
  <si>
    <t xml:space="preserve">Inclusão de atividade no CIL </t>
  </si>
  <si>
    <t>Bianca Silva</t>
  </si>
  <si>
    <t>FB0102939</t>
  </si>
  <si>
    <t>TREINAMENTO SCRIPT</t>
  </si>
  <si>
    <t>Aline Fernandes</t>
  </si>
  <si>
    <t>Luzia Rodrigues</t>
  </si>
  <si>
    <t>FB0139843</t>
  </si>
  <si>
    <t>facilita o acesso aos bojos sem a necessidade de PT</t>
  </si>
  <si>
    <t>Grande mudança local</t>
  </si>
  <si>
    <t>FB0125662</t>
  </si>
  <si>
    <t>Criar instruções para as sirenes das Fabrimas (troca de Silo)</t>
  </si>
  <si>
    <t>FB0124354</t>
  </si>
  <si>
    <t xml:space="preserve">Manual com imagens e passos para a inserção da bobina na fabrima </t>
  </si>
  <si>
    <t>Valeria Yanez</t>
  </si>
  <si>
    <t>FB0147886</t>
  </si>
  <si>
    <t xml:space="preserve">colocar uma tomada nesse local </t>
  </si>
  <si>
    <t>Luiz H Silva</t>
  </si>
  <si>
    <t>FB0154914</t>
  </si>
  <si>
    <t>Substituição dos sensores magnéticos das portas por modelos com LED de indicação visual, facilitando a identificação de portas abertas, mal fechadas ou sensores</t>
  </si>
  <si>
    <t>Igor Sousa</t>
  </si>
  <si>
    <t>Product</t>
  </si>
  <si>
    <t>FB0086839</t>
  </si>
  <si>
    <t>Ligação independente para codificadora de caixas</t>
  </si>
  <si>
    <t>Michelle Faria</t>
  </si>
  <si>
    <t>FB0087245</t>
  </si>
  <si>
    <t>colocar as limpeza t3 cil</t>
  </si>
  <si>
    <t>Priscilla Araujo</t>
  </si>
  <si>
    <t xml:space="preserve">Número </t>
  </si>
  <si>
    <t>Descrição</t>
  </si>
  <si>
    <t>Atribuído a</t>
  </si>
  <si>
    <t>Fechado</t>
  </si>
  <si>
    <t xml:space="preserve">Status controle interno </t>
  </si>
  <si>
    <t>canceladas</t>
  </si>
  <si>
    <t>FB0076323</t>
  </si>
  <si>
    <t>Escada dando acesso aos Detectores de Metais</t>
  </si>
  <si>
    <t>Uma Escada facilitando o acesso aos Detectores de Metais do lado da Fabrima 05</t>
  </si>
  <si>
    <t>Isaias Macedo</t>
  </si>
  <si>
    <t>Cancelada</t>
  </si>
  <si>
    <t>FB0076530</t>
  </si>
  <si>
    <t xml:space="preserve">Isolamento do Vão da Escada Mesanino PKD </t>
  </si>
  <si>
    <t>Devido ao no leaut dos contêiner foi necessário retirar um móvel que havia debaixo do vão da escada ficando um local aberto possibilitando a passagem por baixo da escada em um ponto onde existe a possibilidade de colisão com o rosto ou cabeça.
Devido. a necessidade de isolamento podemos aproveitar essa espaço com um armário um com suporte para um bebedouro, e a guarda de utensílios.</t>
  </si>
  <si>
    <t>Patrick Pessoa</t>
  </si>
  <si>
    <t>FB0076596</t>
  </si>
  <si>
    <t>Avaliar relatório de inspeção do ciclones de cinza e película se é pra inspecionar ou retira da folhas o formulários…</t>
  </si>
  <si>
    <t>Resolvido</t>
  </si>
  <si>
    <t xml:space="preserve">Hoje não e feito a inspeção de cinza e película do relatório(FRM-07-016) foi feito uma melhoria colocando sensor de presença na rosca atuando alarme no  supervisório quando a caçamba de película está cheia …. Sugiro que seja retirado esta página </t>
  </si>
  <si>
    <t>Edvan Santos</t>
  </si>
  <si>
    <t>Tiago Carvalho</t>
  </si>
  <si>
    <t>FB0076597</t>
  </si>
  <si>
    <t xml:space="preserve">moega de reprocesso e dosagem de café </t>
  </si>
  <si>
    <t>Moega de reprocesso e dosagem e  um processo de melhorar e facilitar o reprocesso de café dos turnos agilizando toda etapa do café para seu devido silo de pó. Para esta melhoria seria utilizado algumas peças que estão obsoletas da linha de grãos e da extratora antiga.</t>
  </si>
  <si>
    <t>FB0076655</t>
  </si>
  <si>
    <t xml:space="preserve">mesa de pacotes para analise </t>
  </si>
  <si>
    <t xml:space="preserve">Realizar a confecção de um adesivo referente as numerações das câmaras de vácuo e colocar na mesa de recolhimento de pacotes para análise para posicionamento dos pacotes referente a cada câmara .
O adesivo deverá ser confeccionado com impressão da direita para esquerda para acompanhar a forma que pacote sai da roda de vácuo e com é retirado pelos operadores 
Da seguinte forma de 1 a 4 de 5 a 8 é demais na sequencia  até finalizar  as 28 câmaras
Os pacotes são retirados de 4 a 4 por vez.
Pedro Ferreira: Ideia realizada, porém, falta o operador colar os adesivos na mesa. 
</t>
  </si>
  <si>
    <t>FB0076876</t>
  </si>
  <si>
    <t xml:space="preserve">Claviculário almoxarifado </t>
  </si>
  <si>
    <t xml:space="preserve">Colocar claviculário com todas as chaves dos armários e portões do almoxarifado numeradas e em ordem, para restringir acesso aos materiais.   </t>
  </si>
  <si>
    <t>Sarah Teixeira</t>
  </si>
  <si>
    <t>09.1 ALMOXARIFADO</t>
  </si>
  <si>
    <t>IDEIAS-CAFÉ CRÚ</t>
  </si>
  <si>
    <t>FB0076877</t>
  </si>
  <si>
    <t>Criação de Forms para registro de saídas de almoxarifado</t>
  </si>
  <si>
    <t xml:space="preserve">Criação de Forms para registro de saídas de almoxarifado, facilitando para quem precisa retirar materiais quando não tem almoxarife para fazer os registros. </t>
  </si>
  <si>
    <t>cancela</t>
  </si>
  <si>
    <t>FB0076880</t>
  </si>
  <si>
    <t>Suporte para etiquetas de fardo</t>
  </si>
  <si>
    <t>Colocar um suporte para colocar as etiquetas dos fardos na parede do CQ, trazer as etiquetas para mais próximo ao almoxarifado e organizar melhor</t>
  </si>
  <si>
    <t>FB0076937</t>
  </si>
  <si>
    <t>Retornar com os Teclados e Mouse sem fio</t>
  </si>
  <si>
    <t>Retornar Mouse e Teclados sem fio,para facilitar o uso sem precisar utilizar suporte para Mouse e não ocupar tanto espaço na mesa</t>
  </si>
  <si>
    <t>04. LINHA 04</t>
  </si>
  <si>
    <t>FB0076944</t>
  </si>
  <si>
    <t>Mola Aérea Para Fechamento De Portas Automática - Almoxarifado</t>
  </si>
  <si>
    <t xml:space="preserve">Colocar uma Mola Aérea Para Fechamento De Portas Automática nas portas do almoxarifado, o fluxo de mecânicos é muito grande e deixam a porta aberta ao sair, se fazendo necessário parar as atividades para fechar a porta. </t>
  </si>
  <si>
    <t>FB0077045</t>
  </si>
  <si>
    <t>aplicativo de RO</t>
  </si>
  <si>
    <t>Colocar uma opção de fotografia no aplicativo de RO para melhor visualização da ocorrência, assim o reporte ficará mais claro pra as pessoas que irão conduzir uma RCA, trazendo uma transparência no que de fato ocorreu e agilidade na tratativa para que seja discutido em OPS.</t>
  </si>
  <si>
    <t>IDEIAS-QUALIDADE</t>
  </si>
  <si>
    <t>FB0077070</t>
  </si>
  <si>
    <t>Caixa box não abre</t>
  </si>
  <si>
    <t>Em andamento</t>
  </si>
  <si>
    <t xml:space="preserve">Realizar um sistema de parada na encaixotadora .
Caso a caixa box venha colada no interior ela não abre com isso o sensor de parada do magazine não atua e com isso ela passa fechada e com isso fica enroscada nas guias de fechamento da abas laterais com essa falha ocorre o amassamento de pacotes da caixa que vem subsequente ocorrendo perda de pacotes e caixas é risco de quebra do equipamento o esforço ou soltar a corrente principal .
 OBS Ideia já foi discutida com Igor  da Programação. Ana, por favor, programar com o Igor/Eliezer, para realização. </t>
  </si>
  <si>
    <t xml:space="preserve">Aguardando Execução </t>
  </si>
  <si>
    <t>FB0077079</t>
  </si>
  <si>
    <t xml:space="preserve">Sistema  Alarme Sonoro e Luminoso </t>
  </si>
  <si>
    <t xml:space="preserve">Necessidade de colocar um sistema de alarme Sonoro e luminoso no sistema da encaixotadora .
Que o momento que ocorrer a falha ele alerte os operadores caso eles  estejam desempenhando outra atividade no momento da falha.
OBS Ideia discutida com Igor Programação </t>
  </si>
  <si>
    <t>FB0077133</t>
  </si>
  <si>
    <t xml:space="preserve">Código de parada alarme de incêndio </t>
  </si>
  <si>
    <t>Criar um código de parada para quando o brigadista precisar se ausentar da máquina devido ao acionamento do alarme e houver intercorrência e não tiver ninguém para reveza-lo no momento.</t>
  </si>
  <si>
    <t>Vinicius De Oliveira</t>
  </si>
  <si>
    <t>FB0077202</t>
  </si>
  <si>
    <t>abridor de abas encaixotadora</t>
  </si>
  <si>
    <t>Foi realizada nova confecção de abridores de aba , com ângulo  de 45 graus para melhorar abertura da caixa , assim voltando com as condições da máquina de base. Protótipo está em funcionamento feito do material de acrílico e estando com bons resultados na máquina.
Participantes .
Wesley,Patrick,Arthur,Mário rizo</t>
  </si>
  <si>
    <t>Wesley J Silva</t>
  </si>
  <si>
    <t>FB0077203</t>
  </si>
  <si>
    <t>Expulsador de caixa box</t>
  </si>
  <si>
    <t>Realizar o desenvolvimento de acionamento manual no expulsador da balança de peso.
Para quando ocorre pequena falha no robô o operador possa utilizar o acionamento manual para expulsar caixa sem que haja parada de máquina.
Ideia: Discutida com Igor  Santos Programação ,
Realmente é uma ótima ideia, porém todo circuito de NR12 esta interligado com o robô para ser realizado precisa a trazer uma empresa autorizada em NR12 e refazer todo circuito de NR12 novamente para que isso seja concretizado.</t>
  </si>
  <si>
    <t>FB0077256</t>
  </si>
  <si>
    <t>tambores de capitação de pó filtro de mangas do despredador 1</t>
  </si>
  <si>
    <t xml:space="preserve">Os tambores de capitação de pó do filtro de mangas do despredador 1 estão vazando muito pó porque eles não possuem travas e existe outros tambores que possuem travas e estão desativados porque eram do despredador 2 e hoje não funciona mais, aí poderiam ser substituídos </t>
  </si>
  <si>
    <t>01. CAFÉ CRU</t>
  </si>
  <si>
    <t>Caique Ventura</t>
  </si>
  <si>
    <t>FB0077257</t>
  </si>
  <si>
    <t>suporte de proteção da moega onde joga bags</t>
  </si>
  <si>
    <t xml:space="preserve">O novo sistema de entrada de café em bags não possui proteção, podendo amassar a estrutura da moega quando for jogar bag
</t>
  </si>
  <si>
    <t>FB0077258</t>
  </si>
  <si>
    <t>Tomadas 220</t>
  </si>
  <si>
    <t>Colocar pontos de tomada 220 em cima dos silos de grão e pó. 
Eliézer: é possivel instalar as tomadas porem não temos recursos internos para isso, @leonardo por favor puxar orçamento com Mateus Eletromarzinho</t>
  </si>
  <si>
    <t>Leonardo Junior</t>
  </si>
  <si>
    <t>Energy efficiency</t>
  </si>
  <si>
    <t>14. SILOS CAFE MOIDO</t>
  </si>
  <si>
    <t>Aguardando Aprovação de CAPEX</t>
  </si>
  <si>
    <t>FB0077552</t>
  </si>
  <si>
    <t xml:space="preserve">descer as válvula de água para baixo </t>
  </si>
  <si>
    <t xml:space="preserve">A procedimento em desligar o torrador tendo que fecha as válvula do tanque de água ,ao ligar também sendo assim acesso o tanque devido a escada marinheiro precisar fazer pt e wlmra é gera um tempo acha as pessoa responsável para assinar o documento, descendo as válvula para baixo o tempo que gastaria para fazer o documento ganharia em produtividade </t>
  </si>
  <si>
    <t>FB0077563</t>
  </si>
  <si>
    <t xml:space="preserve">Redução de carreta no pátio </t>
  </si>
  <si>
    <t>Deixar entrar as carretas que estão programadas para descarregar no turno para tirar amostra e não todas do dia as 6h como é hoje. Será necessário priorizar a atividade de tirar amostra logo após contagem de estoque, para não correr risco de atrasos no CQCV. Teremos no máximo 3 carretas no pátio, o que ajuda o almoxarifado ao descarregar cavaco, facilita na gestão de estoque e demais movimentações, além da divisão de atividades entre turnos sobrará tempo para jogar bags e outras atividades no 1 turno</t>
  </si>
  <si>
    <t>Nilton F Costa</t>
  </si>
  <si>
    <t>FB0077783</t>
  </si>
  <si>
    <t>Cantoneira para fixar cortina</t>
  </si>
  <si>
    <t>Seria necessário fixar uma cantoneira para fixação da cortina.
Pois toda vez que uma carreta entra na plataforma é preciso segurar parte da cortina para o motorista enxergar a faixa amarela que o auxilia no alinhamento dos pneus da carreta.</t>
  </si>
  <si>
    <t>Jose Junior</t>
  </si>
  <si>
    <t>08. LOGISTICA</t>
  </si>
  <si>
    <t>IDEIAS-LOGÍSTICA</t>
  </si>
  <si>
    <t>FB0077784</t>
  </si>
  <si>
    <t xml:space="preserve">Sistema de ventilação e exaustão </t>
  </si>
  <si>
    <t>Nesta área de recebimento das carretas,ao entrar nelas não existe um sistema de circulação de ar,ou exaustor para captar o pó na descarga do café.
A falta de uma ventilação eficiente prejudica a respiração e exaustão do corpo,fazendo o operador a suar excessivamente,causando desidratação.
SHE: Hiago, o conforto térmico não esta conectado com o projeto ATEX. Eles podem ser desenvolvido juntos mas os objetivos são diferentes.
É possivel realizar melhorias na aclimatação do setor. Deevemos fazer uma MOC e na sequencia abrir uma TAP.
Do ponto de vista de SHE a ideia está aprovada.</t>
  </si>
  <si>
    <t>Aguardando MOC</t>
  </si>
  <si>
    <t>FB0078291</t>
  </si>
  <si>
    <t>Aumento de capacidade de estoque de café cru</t>
  </si>
  <si>
    <t xml:space="preserve">Atualmente armazenamos 1000kg de café em cada bag, com isso sobra um espaço vazio em cada bag. A proposta é aumentar para 1100kg em cada bag, respeitando sua capacidade máxima de armazenamento.
Solicitar ao Michel EGE para configurar a quantidade de café na retirada de bag.
</t>
  </si>
  <si>
    <t>FB0078586</t>
  </si>
  <si>
    <t>fechador de abas</t>
  </si>
  <si>
    <t>confecção de um nomo modelo de fechador de abas para encaixotadora mais simples e eficaz</t>
  </si>
  <si>
    <t>FB0078785</t>
  </si>
  <si>
    <t xml:space="preserve">Programa de apadrinhamento da operação pela manutenção </t>
  </si>
  <si>
    <t>IDEIA
Criar um programa onde os associados que estão fazendo ou já fizeram curso técnico de eletrônico e mecânico sejam apadrinhados pelos manutentores na execução de atividades em paradas e preventivas possibilitando transferência de conhecimento e preparação para próximas oportunidades.
---------------------
FEEDBACK
Edvan, obrigada pela ideia. Vamos ver como conseguimos incorporar isso integrando o pilar de MA e ORG. A Luzia vai verificar. (Lu, analisar por favor e colocar em pauta para algum desses pilares)
FEEDBACK 23/09/2025: Creio que seja uma ótima oportunidade de aprendizado mas que precisará de um plano para garantir oportunidades igualitárias sem que impacte as atividades operacionais e manutenções. Levarei para o pilar Org, creio ser uma frente de trabalho possível para 2026.
FEEDBACK 28/05/2026: Atribuindo e encaminhando à Fabrizia para que analise e veja se é possível levar o tema no pilar org ou se não está alinhado a estratégia do momento.</t>
  </si>
  <si>
    <t>01. TORRADORES</t>
  </si>
  <si>
    <t>Fabrizia Soares</t>
  </si>
  <si>
    <t>FB0081067</t>
  </si>
  <si>
    <t>testador de vácuo PKD</t>
  </si>
  <si>
    <t xml:space="preserve">O testador de vácuo está amaçando o pacote durante o teste de pressão .
Com esse amaçado o pacote ganha uma inclinação vindo a escorregar na encaixotadora e também podendo rasgar a caixa durante o enchimentos devido a forma que fundo do pacote fica.
Realizar uma melhoria no stop do testador afim que a chapa que segura o pacote não encline para não amassar o pacote.
Ideia discutida com Arthur da manutenção </t>
  </si>
  <si>
    <t>Henrique Cardoso</t>
  </si>
  <si>
    <t>CANCELADO</t>
  </si>
  <si>
    <t>FB0081758</t>
  </si>
  <si>
    <t>Substituir as lixeiras sem cor por lixeiras com a cor da soleta seletiva</t>
  </si>
  <si>
    <t xml:space="preserve">Por 5S, a sugestão é substituirmos as lixeiras por lixeiras novas nas linhas de acordo com as cores da coleta seletiva (igual tem na logísitca). Elas não ficam encardidas. Não precisa trocar agora, mas na próxima substituição considerar esse modelo. </t>
  </si>
  <si>
    <t>Giovanna Biffaratte</t>
  </si>
  <si>
    <t>FB0082056</t>
  </si>
  <si>
    <t>Plano fixo de Cafés</t>
  </si>
  <si>
    <t>Fixar o plano de cafés nas fabrimas, onde as fabrimas 4 e 5 produziriam café de canaleta fechada, que é o tipo de café que tem a melhor performance nas máquinas. E as fabrimas 2 e 3 produziriam cafés de canaletas abertas, que é o tipo de café que produz melhor nas máquinas.
(Aberto a opiniões)</t>
  </si>
  <si>
    <t>Rafael Santos</t>
  </si>
  <si>
    <t>FB0082999</t>
  </si>
  <si>
    <t>Apoio fixo (pé fixo)</t>
  </si>
  <si>
    <t xml:space="preserve">Soldar 5 apoio fixo com 15 cm de altura sendo dois em cada lado e um no meio 
Vejo que é recorrente a quebra das rodas sendo com apoio fixo não teremos mais ocorrência de quebra e com isso iremos economizar pois cada roda custa em média 700.00 cada
E soldando pés teríamos pouco gastos </t>
  </si>
  <si>
    <t>Joelma Inone</t>
  </si>
  <si>
    <t>FB0083266</t>
  </si>
  <si>
    <t>colocar o torrador 3 para torra super claro</t>
  </si>
  <si>
    <t xml:space="preserve">Mesmo quando os torradores turbo 1 e 2 tiver funcionando,ligaria o torrador 3 para fazer o super claro ganharíamos na produtividade e acompanharia a máquina sempre em funcionamento não ficaria grandes período desligado não sujeitando problemas e perda de café quando  precisar da máquina ela não ficará grandes período desligada , não consumiria muito o gás pq ligaria por pequeno período só para abastecer o super claro qualquer defeito seria identificado  se caso problema no torrador 1 e 2 a máquina 3 estaria pronta para produzir integralmente </t>
  </si>
  <si>
    <t>03. TORRADOR 03</t>
  </si>
  <si>
    <t>FB0083468</t>
  </si>
  <si>
    <t xml:space="preserve">'+ aspirador de pó </t>
  </si>
  <si>
    <t xml:space="preserve">Comprar + aspirador de pó para fabrimas, para economizar tempo de cil, pois como possui apenas 1 aspirador pra 2 máquinas, sendo que uma pessoa tem q esperar desocupar o aspirador para poder usar
</t>
  </si>
  <si>
    <t>Romero Chaves</t>
  </si>
  <si>
    <t>FB0083992</t>
  </si>
  <si>
    <t>Lixeira integrada na bancada para otimização de espaço</t>
  </si>
  <si>
    <t>Fazer um furo com o devido acabamento no granito das bancadas da barreira sanitária para colocar as lixeiras de papel toalha embaxio da bancada e liberar espaço visto que as lixeiras estão muito proximas da catraca da barreira sanitária. Também poderia ser feito nos banheiros visto que principalmente no feminino a localização atual da lixeira pode dificultar um pouco o transito na porta do banheiro. Sugestão nas imagens em anexo
As lixeiras podem ter tampas giratórias/basculantes (semelhantes como são as lixeiras inox do adm) embutidas na bancada para atender os requistos de qualidade e não ficarem abertas.</t>
  </si>
  <si>
    <t xml:space="preserve">09.5 BANHEIROS </t>
  </si>
  <si>
    <t>IDEIAS-ADMINISTRATIVO</t>
  </si>
  <si>
    <t>FB0084063</t>
  </si>
  <si>
    <t>alteração na descrição das receitas</t>
  </si>
  <si>
    <t>Algumas receitas não contém o número do Blend,por exemplo Damasco tradicional (Blend 40)</t>
  </si>
  <si>
    <t>Lucas Vaz</t>
  </si>
  <si>
    <t>FB0084739</t>
  </si>
  <si>
    <t xml:space="preserve">filtrar paradas do robô </t>
  </si>
  <si>
    <t xml:space="preserve">IDEIA 
Filtrar as paradas do robô , mudando a cor das paradas ex: ( amarelo) , está dificultando muito para separar as paradas para fechar o relatório no final do turno .
-------------
APROVAÇÃO
Angela, excelente ideia. Demoramos para implantar, pois desde novembro estamos sem o orçamento para melhorias no MOP. Ele foi reativado agora em abril e já encaminhamos sua ideia na lista de solicitações. 
Para conhecimento, esse orçamento nos permite usar 3 diárias mensais de serviço especializado para alguma melhoria no MOP, então às vezes se já usamos as diárias, precisamos esperar o próximo mês para pedir algo novo. </t>
  </si>
  <si>
    <t>FB0084748</t>
  </si>
  <si>
    <t>Adicionar no CIL mensal para limpeza dos utensílios de limpeza das areas</t>
  </si>
  <si>
    <t xml:space="preserve">Devido ao acumulo de sujeira, adicionar no CIL mensal a limpeza dos utensílios de limpeza com água ou pano. </t>
  </si>
  <si>
    <t>FB0084875</t>
  </si>
  <si>
    <t xml:space="preserve">Canetas sempre no chão </t>
  </si>
  <si>
    <t>As canetas do quadro da moagem sempre caíam, foi feito um suporte(paleativo), para acabar com este problema</t>
  </si>
  <si>
    <t>Camila Silva</t>
  </si>
  <si>
    <t>FB0085512</t>
  </si>
  <si>
    <t xml:space="preserve">Abridor de Abas </t>
  </si>
  <si>
    <t xml:space="preserve">Realizar alteração no tempo de atuação do abridor de abas fazendo com que ele não entre junto com chapa frontal do enchedor para que não aja colisão na caixa fora do tempo e assim a caixa fica parada não movimento nem para traz ou para frente 
Ideia já discutido com Igor Eletrônico 
</t>
  </si>
  <si>
    <t>FB0085628</t>
  </si>
  <si>
    <t>melhoria procedimento quando arrebenta a alça do bag</t>
  </si>
  <si>
    <t xml:space="preserve">quando arrebenta uma alça de bag hoje amarramos a alça com corda reaproveitada da caçamba do cavaco conforme foto.
para melhorar a situação de segurança 
 favor comprar uma cinta de 1.5m com capacidade 1500kg para está ser usada no alcamento do bag (considerando as outras 3 alças restante)
Pedro Ferreira: 
Ideia apta para execução, mas é necessário que o orçamento seja enviado até CI, para que seja efetuada a compra. 
</t>
  </si>
  <si>
    <t>Flavia Silveira</t>
  </si>
  <si>
    <t xml:space="preserve">Aguardando material </t>
  </si>
  <si>
    <t>FB0085629</t>
  </si>
  <si>
    <t>Moinho 1</t>
  </si>
  <si>
    <t>Eu sou analista do detector de metais e tenho que peneirar no moinho 1, e o moinho 1 a altura e muito baixa e acabando prejudicando minha postura causando dores nas costas deivido de estar muito baixo para mim,sugiro que aumentasse um pouco mais a altura.
SHE: há um projeto em andamento para instalação de uma peneira vibratória no local. A peneira terá uma altura ergonômica.</t>
  </si>
  <si>
    <t>Emilly Silva</t>
  </si>
  <si>
    <t>FB0085630</t>
  </si>
  <si>
    <t>moinho 5</t>
  </si>
  <si>
    <t>Quando eu for peneira no moinho 5 a peneira é muito grande a(largura) causando a caída de café no chão, sugiro que fizeste uma peneira da largura que faz o reprocesso de café para não cair no chão,ou aumentasse mais a largura do moinho.</t>
  </si>
  <si>
    <t>01. MOINHO 05</t>
  </si>
  <si>
    <t>FB0085638</t>
  </si>
  <si>
    <t>Sujeira de café na Roupa devido ao café ser peneira do</t>
  </si>
  <si>
    <t>Eu Emilly Silva sou analista do detector de metais, e precisar peneira o café e onde que ocorre sujar a roupa de café, pois o café espalha muito ao peneira-lo , sugiro para não sujar muito a roupa, ja que é só eu que peneira o café de alguns turno acaba ficando muito suja a minha roupa, sugiro que eu tivesse algum jaleco para mim usar para está fazendo a devida atividade.</t>
  </si>
  <si>
    <t>FB0085991</t>
  </si>
  <si>
    <t xml:space="preserve">Aumento do ranger </t>
  </si>
  <si>
    <t>Aumentar o ranger do parâmetro tempo atraso do freio, vertical da fabrima 4 está muito curta e variando bastante quando rodado no parâmetro limite do centerlining (90) a ideia é aumentar o ranger para até 110 pois assim a vertical fica mais fixa sem variação e maior como se pode ver na imagem.</t>
  </si>
  <si>
    <t>Diogo Silva</t>
  </si>
  <si>
    <t>FB0086147</t>
  </si>
  <si>
    <t xml:space="preserve">Aumento da capacidade de armazenamento </t>
  </si>
  <si>
    <t xml:space="preserve">Foram cerrados paletes PBR, de forma que coubessem em baixo do rack, para ganho de espaço. Com isso ganhamos espaço e conseguimos alocar todas as etiquetas de fardo em um local mais próximo a sala do almoxarifado, facilitando seu manuseio </t>
  </si>
  <si>
    <t>FB0086152</t>
  </si>
  <si>
    <t>EFICIÊNCIA NO PROCESSO</t>
  </si>
  <si>
    <t>Foi solicitado orçamento de 8 bandeijas para armário, afim de otimizar a organização. Com estas bandeijas ganhamos em:
5S 
ORGANIZAÇÃO 
TEMPO EM COMPRAS
TEMPO EM CONTAGEM
GANHO DE ESPAÇO ( pois conseguiremos eliminar esta prateleira da foto, deixando os uniformes apenas em armários trancados)
ACURACIDADE DE ESTOQUE (facilita a contagem).</t>
  </si>
  <si>
    <t>FB0086164</t>
  </si>
  <si>
    <t xml:space="preserve">Equipamento desnecessário </t>
  </si>
  <si>
    <t xml:space="preserve">Possível retirada do elevador vermelho antigo,para facilitar retirada de café em carrinhos do torrador 1 e para passagem no corredor com caçamba de descarte!
Obs:Equipamento encontra-se inutilizado </t>
  </si>
  <si>
    <t>01. TORRADOR 01</t>
  </si>
  <si>
    <t>FB0086390</t>
  </si>
  <si>
    <t xml:space="preserve">CIL Café cru - inlcluir limpeza do elevador </t>
  </si>
  <si>
    <t>no dia 23/10/24 tivemos uma parada no elevador da lançanca de CV devido a acumulo de sujeira (sacaria) e caneca. Com isso o time de manutenção realizou a limpeza e desobstrução do sistema. 
Este é um item de manutenção preventiva e foi feita de acordo com o tempo programado (está em dia).
Tendo isto em vista, solicito a avaliação e inclusão da limpeza deste ponto no CIL.
 Levando em consideração que o CIL deve previnir paradas não planejadas nas máquinas que são resolvidas com limpeza.</t>
  </si>
  <si>
    <t>FB0086521</t>
  </si>
  <si>
    <t xml:space="preserve">portao da entrada de caminhões </t>
  </si>
  <si>
    <t xml:space="preserve">Fazer a troca por um portão automático porque acaba exigindo muito esforço físico dos terceiros da portaria, como travamento do portão em dias de chuva emperra entre outros.
</t>
  </si>
  <si>
    <t>09.14 PORTARIA</t>
  </si>
  <si>
    <t>Colocar uma ligação independente para codificadora de caixas da ligação da encaixotadora. Atualmente se desligar a geral da encaixotadora já desliga automaticamente a codificadora de caixas, porém ela precisa de um procedimento de desligamento mais demorado conforme treinamento que foi ministrado pelo técnico no ano passado após as grandes ocorrências que tivemos na codificadora.
Manutenção: Precisamos fazer orçamento com Eletromarzinho para a instalação de infra para passagem de cabos.</t>
  </si>
  <si>
    <t>FB0087054</t>
  </si>
  <si>
    <t xml:space="preserve">Raumak 2 Eliminar o motor desbobinador </t>
  </si>
  <si>
    <t xml:space="preserve">IDEIA
Eliminar o motor desbobinador da Raumak 2, para evitar a queda do motor e evitar paradas da Raumak devido a causa que é feita o motor desbobinador da Raumak 2, e sugiro que seja feita a eliminação do motor desbobinador e colocasse a Raumak 2 e a bailarina também, colocasse a Raumak 2 que nem as Raumak 3,4 e 5.
Pois mudando a Raumak 2 que nem ás Raumak 3,4 e 5, Ficaria com mais fácil acesso e evitaria a queda do motor e teria mais fácil acesso com a bobina na hora da troca pois o modo que é feito a Bailarina é o motor fica difícil com difícil acesso e a bobina e o motor não cairia,e não causaria nenhum acidente de lesão leve.
Colocando a Raumak 2 que nem a Raumak 3,4 e 5 e que nem as bailarinas ficariam com mais fácil acesso e ficariam melhor.
---------
APROVAÇÃO 
Visto durante o plantão de ideias com a Emilly que a ideia está com o Arthur para viabilidade técnica. Prover atualização. 
Solicitado a Emilly também a adição de fotos. 
</t>
  </si>
  <si>
    <t>02. LINHA 02</t>
  </si>
  <si>
    <t>FB0087078</t>
  </si>
  <si>
    <t xml:space="preserve">Projeto faixas para estacionamento </t>
  </si>
  <si>
    <t xml:space="preserve">Projeto consiste na pintura de faixas para organização das carretas inbound e outbound no espaço lateral no pátio externo da logística </t>
  </si>
  <si>
    <t>Diego T Oliveira</t>
  </si>
  <si>
    <t>Fabio A Oliveira</t>
  </si>
  <si>
    <t>FB0087113</t>
  </si>
  <si>
    <t>tomada para conectar o aspirador entre a Raumak e robô  linha 2-3</t>
  </si>
  <si>
    <t>Entre a Raumak e robô da linha 2-3 não tem tomada que adapta o aspirador, pois a entrega da tomada dele é  grossa</t>
  </si>
  <si>
    <t>Não tem no cil</t>
  </si>
  <si>
    <t>FB0087246</t>
  </si>
  <si>
    <t>rosca de película 1 e 2  por no cil</t>
  </si>
  <si>
    <t>Precisar fazer raspagem as crosta que forma</t>
  </si>
  <si>
    <t>FB0087260</t>
  </si>
  <si>
    <t xml:space="preserve">aspirador pneumático pra facilitar a limpeza parte superior dos silos </t>
  </si>
  <si>
    <t xml:space="preserve">Aspirador de pó, facilitando os trabalhos em altura onde temos que fazer limpeza de fim de mês ou qualquer outra atividade em altura 
E a não ter que ficar jogando toda aquela quantidade de pó e sujeira no chão tendo que fazer dois trabalhos num só 
Esse aspirador poderíamos está vendo uma maneira fácil de tá usando ele com o cinto de segurança 
E seria interessante também aderirmos a compra de um pra cada área assim como a cor da area 
Tendo o produto pronto não teriamos mais a limpeza com ar comprimido facilitando e muito nosso trabalho e a limpeza </t>
  </si>
  <si>
    <t>Ricardo Nishida</t>
  </si>
  <si>
    <t>FB0087261</t>
  </si>
  <si>
    <t xml:space="preserve">Melhoria de ergonomia para limpeza das Câmaras de torra </t>
  </si>
  <si>
    <t>Realizar compra de um desincrustador pneumático para facilitar a limpeza das câmaras de torra, gerando mais facilidade e retirando o uso de espátula e marreta. Isso irá reduzir o tempo de limpeza, reduzindo também a exposição do associado ao risco de NR33, além dos benefícios a ergonomia da atividade.</t>
  </si>
  <si>
    <t>FB0087369</t>
  </si>
  <si>
    <t>Melhoria Torrador 3</t>
  </si>
  <si>
    <t>Criação de uma porta na lateral no torrador 3.. para facilitar a condição de limpeza de películas na parte inferior do mesmo, local onde é espaço confinado, de difícil acesso, péssima ergonomia e acumula muita sujeira. 
Esse local faz parte da rotina de limpeza diária, sendo necessário limpar todo início de produção ( geralmente aos domingos ).
Com essa sugestão seria possível realizar a limpeza de uma forma mais segura, ágil , e sem a necessidade de um operador adentrar ao espaço confinado eliminando a abertura de PT, separar um associado para vigia, e socorrista, sendo possível priorizar outras atividades.</t>
  </si>
  <si>
    <t>Izabela Pugliesi</t>
  </si>
  <si>
    <t>FB0087415</t>
  </si>
  <si>
    <t>melhoria na fixação das pinças superior e inferior da formação do fundo PKD</t>
  </si>
  <si>
    <t xml:space="preserve">Melhoria na fixação das pinças superior e inferior da formação do fundo PKD
Deve ser realizado a confecção de duas pinças novas com o furo de fixação com a medida exata do parafuso para que não haja folga nem ajuste neste ponto </t>
  </si>
  <si>
    <t>FB0087474</t>
  </si>
  <si>
    <t>transporte café torrado do torrador3</t>
  </si>
  <si>
    <t>Implementar tela do transporte de café torrado na tela principal do torrador 3
Semelhante à dos turbo 1 e 2</t>
  </si>
  <si>
    <t>FB0087661</t>
  </si>
  <si>
    <t>ALTERAÇÃO DO MODELO DE CILINDRO DO BRAÇO DOBRADOR DE ABAS DA ENCAIXOTADORA</t>
  </si>
  <si>
    <t>DESENVOLVER UM MODELO DE CILINDRO PNEUMÁTICO QUE TENHA MAIS RESISTENCIA A IMPACTOS POR TORÇÃO E POSSUA SISTEMA DE AMORTECIMENTO DE FIM DE CURSO - AÇÃO DA BDA RCA0195536 , ONDE HOUVE A QUEBRA DO EIXO DESSE CILINDRO</t>
  </si>
  <si>
    <t>FB0087799</t>
  </si>
  <si>
    <t xml:space="preserve">Melhoria na visualização dos cames da roda de mandril (formação do fundo) </t>
  </si>
  <si>
    <t xml:space="preserve">Substituir a tampa de proteção dos cames para uma tampa em acrílico transparente para facilitar a visualização do alinhamento dos cames </t>
  </si>
  <si>
    <t>FB0087827</t>
  </si>
  <si>
    <t xml:space="preserve"> INSTALAR JANELA DE INSPEÇÃO PARA ACESSO AOS REGISTROS DE CALOR DE CADA UMA DAS CÂMARAS DOS TORRADORES</t>
  </si>
  <si>
    <t>AVALIAR POSSIBILIDADE DE INSTALAR UMA JANELA DE INSPEÇÃO PARA ACESSO AOS REGISTROS DE CALOR DAS CAMARAS DE TORRA (DUMPERS DE AR QUENTE) NA PARTE EXTERNA DA FORNALHA, (PRINCIPALMENTE PARA O DUMPER DA CAMARA 2 QUE FICA EM UM DUTO EM "L"). ISSO ELIMINARIA A NECESSIDADE DE ESPAÇO CONFINADO PARA REALIZAR A MANUTENÇÃO PREVENTIVA, PROPORCIONANDO REDUÇÃO DE TEMPO E ELIMINAÇÃO DE ATIVIDADE DE RISCO
OBS: AÇÃO SAIU DO FMEA00002 DO REGISTRO DE CALOR DO TORRADOR 1</t>
  </si>
  <si>
    <t>FB0087861</t>
  </si>
  <si>
    <t xml:space="preserve">Cobertura para empilhadeira </t>
  </si>
  <si>
    <t>A área demarcada em vermelho destaca áreas críticas do painel onde costuma infiltrar água toda vez que necessita jogar película na caçamba de resíduos do lado de fora.
Quando molha o painel apresentam informações no mesmo de ordem elétrica,impedindo o funcionamento do equipamento. Creio que este equipamento não foi feito para se andar na chuva,pois uma cobertura sobre o equipamento já resolveria esta situação.</t>
  </si>
  <si>
    <t>Aguardando Validação</t>
  </si>
  <si>
    <t>FB0087866</t>
  </si>
  <si>
    <t xml:space="preserve">RODÍZIO SOB OS TAMBORES DOS CICLONES </t>
  </si>
  <si>
    <t>Estes ciclones quando retirados do local para a limpeza são pesados,e para facilitar sua locomoção até o descarte seria ideal rodízios neles.
Pois removê-los todos os dias é incômodo pois se faz movimentos semi-flexionados,causando dor na região lombar da coluna.</t>
  </si>
  <si>
    <t>FB0088026</t>
  </si>
  <si>
    <t xml:space="preserve">MOP em constante EVOLUÇÃO </t>
  </si>
  <si>
    <t xml:space="preserve">IDEIA
Futuramente ter a opção de fazer nossos apontamentos com fotos .. podendo assim de uma maneira mais clara e objetiva para o entendimento de todos . Muitas vezes nós não sabemos com palavra explicar a REAL causa da parada. Facilitando assim o entendimento de todos 
--------------------------------
FEEDBACKS 
Giovanna - 18/12: Lais, o MOP não vamos conseguir trazer essa funcionalidade pos restrição de desenvolvimento e porque temos a questão da foto no DMOS. 
Porém sua solicitação está muito em linha com algo que estamos pensando: estamos trabalhando para a ordem branca virar uma etiqueta do DMOS. Com isso, quando houver problema na máquina com atendimento técnico ou próprio operacional, o operador abrirá a etiqueta no DMOS (onde pode colocar foto) e colocará o número da etiqueta no apontamento do MOP, assim podemos ver a foto do problema, conforme sua solicitação!
Além disso, com base na sua ideia, vou programar com o time de CI, para pegarmos os códigos da árvore de perdas e de fato colocarmos fotos dos pontos para que seja um norte. (Relton, tocar isso, por favor)
Com esses dois pontos que não são exatamente a sua ideia mas entregam o mesmo valor eu vou aprovar a ideia, mas considerando as execuções acima, tudo bem? Quer adicionar algo mais? 
--------------------------------
</t>
  </si>
  <si>
    <t>Lais Silveira</t>
  </si>
  <si>
    <t>FB0088085</t>
  </si>
  <si>
    <t>Suporte para redução  de carga das calhas</t>
  </si>
  <si>
    <t>Suporte para redução  de carga das calhas para não parar a rosca e  dar alarme</t>
  </si>
  <si>
    <t>FB0088140</t>
  </si>
  <si>
    <t>suporte para redução de vazão das calhas</t>
  </si>
  <si>
    <t>suporte para redução de vazão das calhas, de recebimento café cru, para não parar a rosca e ocasionar alarme</t>
  </si>
  <si>
    <t>FB0088323</t>
  </si>
  <si>
    <t xml:space="preserve">Melhoria de Ponto de Aromatização da Película </t>
  </si>
  <si>
    <t>Hoje atualmente os coletores de cinza são transportados para rosca de plana da película. Na rosca plana de película existe 2 pontos de aromatização, o segundo ponto conforme a foto ilustrada é bem ao lado onde a rosca inclinada de cinza recebe toda cinza coletada trazendo para a plana de película. Atualmente temos vários registros de obstrução no micro final da rosca inclinada de cinza que cai junto com a plana de película, essa obstrução ela ocorre devido que o ponto de aromatização de película é ao lado onde cai toda cinza, como a rosca de cinza trabalha em temperatura alta devido a cinza e como a aromatização é bem ao lado conforme a foto ocorre vapor e suando no berço da rosca e como a cinza vai empreguinando vai ocorrendo obstrução da cinza e encrostando até acionando do Micro do final da rosca de cinza.
A ideia é mudar o ponto de aromatização da rosca plana de película para segunda foto ilustrada para que não ocorra essas diversas obstrução de cinza e assim reduzimos nossos impactos de MTBB e MTBF.
Pedro Ferreira: Ideia pode ser realizada através da Manutenção, entretanto, caso não for possível, Rubens irá ficar responsável em solicitar orçamento.</t>
  </si>
  <si>
    <t>Rubens Teixeira</t>
  </si>
  <si>
    <t>Aguardando Orçamento</t>
  </si>
  <si>
    <t>FB0088336</t>
  </si>
  <si>
    <t>local de difícil acesso para limpeza</t>
  </si>
  <si>
    <t xml:space="preserve">Acrílicos e tubo do arremessador de difícil acesso para limpeza na parte superior da Raumak 2
A ideia seria adicionar uma porta com NR para ter um acesso melhor ao arremessador e aos acrílicos do fundo.
SHE: ideia aprovada. Proximos passos: 1-Orçar a mudança com o fornecedor (ENG); 2-Realizar a apreciação de risco NR-12 (+/- R$ 8.000); 3-Laudo de Proteção de Máquinas (NR-12);
Pedro Ferreira: Ideia será CANCELADA devido alto custo. </t>
  </si>
  <si>
    <t>FB0088344</t>
  </si>
  <si>
    <t xml:space="preserve">Espaço estreito </t>
  </si>
  <si>
    <t xml:space="preserve">Coletor de variação de peso muito grande, dificultando bastante o ir e vir na linha. A posição dele é bem de frente a pilastra o que atrapalha ainda mais. Solicito diminuir o tamanho dele pelo tamanho padrão das outras fabrimas , pois a linha 03 já é bem pequena o que facilita a colisão em diversas vezes  com nosso corpo gerando algumas lesões </t>
  </si>
  <si>
    <t>03. LINHA 03</t>
  </si>
  <si>
    <t>Devido uso obrigatório de óculos de segurança para quaisquer atividades e como  EPI seria interessante adaptar todos os óculos com uma borracha de silicone ou outra do tipo para que não incomodar ao colocar sobre o nariz usaremos as borracha no desenho do encaixa das guia conforme a foto ilustrada.
Essa nova adaptação seria para amenizar o incômodo de aperto das guia do óculos, já que os atuais não existi.
SHE: Reprovado.</t>
  </si>
  <si>
    <t>FB0088522</t>
  </si>
  <si>
    <t xml:space="preserve">Placa Visual </t>
  </si>
  <si>
    <t>Colocar uma placa visual na linha de produção, procedimento de lavagem dos filtros para estabelecer a padronização da limpeza dos filtros.</t>
  </si>
  <si>
    <t>FB0088523</t>
  </si>
  <si>
    <t>café no início do turno</t>
  </si>
  <si>
    <t xml:space="preserve">Seria muito bom chegar no turno e ter um café fresco , tem vezes que o café so fica pronto umas 23:00, o segundo turno poderia deixar uma garrafa pronta </t>
  </si>
  <si>
    <t>FB0088563</t>
  </si>
  <si>
    <t>Carrinho PKD</t>
  </si>
  <si>
    <t>Fazer a compra de ou carrinho para agilizar a troca de produto, devido as bobinas serem grandes.
Foi necessário utilizar o carrinho das fabrimas não adequado.</t>
  </si>
  <si>
    <t>FB0089309</t>
  </si>
  <si>
    <t xml:space="preserve">Padronização dos batentes nas esteiras das fabrimas 2 e 3 e máquinas 4 e 5 </t>
  </si>
  <si>
    <t>Sugestão partiu da necessidade de padronização dos batentes nas esteiras das fab 2 e 3 e maq 4 e 5 de acordo com a da esteira da PKD , o que traria a devida segurança e facilidade para trabalho.
O padrão seria igual o atual instalado na PKD conforme foto em anexo.</t>
  </si>
  <si>
    <t>FB0089384</t>
  </si>
  <si>
    <t xml:space="preserve">certificado </t>
  </si>
  <si>
    <t xml:space="preserve">Solicito que analisem a possibilidade de entregar certificado para os associados que concluírem o treinamento da apostila ( programa de capacitação) que deu início no mês de outubro. </t>
  </si>
  <si>
    <t>Iranildo Costa</t>
  </si>
  <si>
    <t>FB0089726</t>
  </si>
  <si>
    <t>Fita de isolamento mais eficiente</t>
  </si>
  <si>
    <t xml:space="preserve">A PROPOSTA DA IDEIA DE MELHORIA É SUBSTITUIR O USO DE FITA DE ISOLAMENTO DESCARTAVEL POR FITA RETRÁTIL, ESSA FITA RETRÁTIL SERIA INSTALADA POR MÁQUINA, DE FORMA QUE FAVOREÇA MUITAS CONFIGURAÇÕES DE ISOLAMENTO UTILIZANDO UM UNICO ISOLAMENTO.
Com essa ideia mapiei os seguintes ganhos:
- Melhorar a eficiência do isolamento:
Proporcionar um posicionamento otimizado do suporte para fita de isolamento, garantindo sua utilização prática e eficaz.
- Aumentar a agilidade no processo de isolamento:
Reduzir o tempo necessário para localizar e utilizar a fita, através de suportes individuais dedicados a cada máquina.
- Garantir a execução consistente do isolamento:
Evitar falhas no processo devido à indisponibilidade ou dificuldade em encontrar o material necessário.
- Promover a sustentabilidade:
Minimizar o consumo excessivo de fita plástica de isolamento, incentivando o uso racional do material.
Demais associados envolvido na ideia: Alexandre Assis e Guilherme Oliveira 
Giovanna - 18/12: Tiago, por favor, poderia avaliar essa alteração junto ao Guilherme? Creio que verba para tal pode ser para um teste piloto do Prog de ideias e depois da área de SHE, caso possuam. </t>
  </si>
  <si>
    <t>Talita Campos</t>
  </si>
  <si>
    <t>FB0090012</t>
  </si>
  <si>
    <t xml:space="preserve">Criar procedimento para abastecimento da maquina com café </t>
  </si>
  <si>
    <t xml:space="preserve">Criar uma IT com passo a passo ensinando a abastecer a maquina com café empacotamento </t>
  </si>
  <si>
    <t>FB0090264</t>
  </si>
  <si>
    <t>protecao de parada do pallet linha 04</t>
  </si>
  <si>
    <t>Fazer igual o da PKD</t>
  </si>
  <si>
    <t>Daniel Madureira</t>
  </si>
  <si>
    <t>FB0090522</t>
  </si>
  <si>
    <t xml:space="preserve">Criar procedimento para troca de teflon do tubo formador de pacotes </t>
  </si>
  <si>
    <t xml:space="preserve">Realizar a criação de um procedimento para troca de teflon do tubo formador de pacotes </t>
  </si>
  <si>
    <t>FB0090523</t>
  </si>
  <si>
    <t xml:space="preserve">Criar procedimento para corrigir a variação de peso das fabrimas </t>
  </si>
  <si>
    <t>FB0090526</t>
  </si>
  <si>
    <t xml:space="preserve">criar procedimento de troca do teflon da vertical da fabrima </t>
  </si>
  <si>
    <t>FB0090527</t>
  </si>
  <si>
    <t xml:space="preserve">Porta absorvente </t>
  </si>
  <si>
    <t>Porta absorvente, banheiro feminino pra quando precisar</t>
  </si>
  <si>
    <t>Karina Silva</t>
  </si>
  <si>
    <t>FB0091085</t>
  </si>
  <si>
    <t xml:space="preserve">CIL, no robô diário </t>
  </si>
  <si>
    <t xml:space="preserve">Colocar o CIL , no robô diário , pois não tem para a limpeza do chão </t>
  </si>
  <si>
    <t>FB0091212</t>
  </si>
  <si>
    <t>LOTOTO descarga café cru</t>
  </si>
  <si>
    <t xml:space="preserve">ao realizar a auditoria de LOTOTO durante a descarga de café e observei algumas oportunidades. Atualmente não é aplicado corretamente, o claviculário fica em um ponto pouco estratégico e não traz a identidade visual do novo LOTOTO e sabemos que isso tem ligação direta com cultura. Então minha sugestão é a elaboração de um "quadro de LOTOTO" para esse ponto, além de incluirmos uma cadeado especifico para o uso do motorista, pois temos relatos de alguns deles serem relutante de deixar a chave do caminhão na mão de nossos operadores. 
Acredito que a implementação dessa ideia contribuirá para a eficácia do procedimento
Demais associados envolvido na ideia: Ricardo Barbosa e Valdecir
SHE: o procedimento de LOTOTO se aplica a bloqueio de energia em máquinas e equipamentos. O processo de guarda e bloqueio da chave dos motoristas de carreta não se enquadra em LOTOTO. A pratica da guarda das chaves já é usada na logistica. Gentileza visistar a logistica e aplicar no café crú a pratica usada por eles.
Ideia reprovada por SHE.
</t>
  </si>
  <si>
    <t>Guilherme Oliveira</t>
  </si>
  <si>
    <t>FB0091219</t>
  </si>
  <si>
    <t xml:space="preserve">medicação para o terceiro turno </t>
  </si>
  <si>
    <t xml:space="preserve">Sabemos que não podemos nus alto medicar sozinhos , mas quando alguém do turno está com algum tipo de dor ou desconforto, sempre solicitamos um colega quando não se tem o próprio medicamento, e quase sempre é dor de estômago ou analgésico, poderia alinhar com a coordenação algum tipo de instrução . Faz falta esse suporte ao turno.
Giovanna - 18/12: Alice, poderia verificar o encaminhamento dessa sugestão? </t>
  </si>
  <si>
    <t>Alice Santos</t>
  </si>
  <si>
    <t>FB0091319</t>
  </si>
  <si>
    <t>suporte para big bag</t>
  </si>
  <si>
    <t xml:space="preserve">Solicitamos uma análise de criação de suporte para pendurar o big bag em casos de retirada de café do torrador 3. A forma que tem feito é: tira o café em um carrinho baixo pequeno depois passa para os carrinho grande e depois leva para o suporte fixo já existente perto das fabrimas para ganhar tempo é viável um suporte móvel nesse ponto. De preferência montar e desmontar para não ocupar espaço </t>
  </si>
  <si>
    <t>FB0091938</t>
  </si>
  <si>
    <t xml:space="preserve">Criar procedimento para ajustar o tamanho do fardo </t>
  </si>
  <si>
    <t>Criar procedimento para ajustar o tamanho do fardo raumak</t>
  </si>
  <si>
    <t>FB0091939</t>
  </si>
  <si>
    <t>Criar procedimento retirar os fardos mal formados de dentro do robô</t>
  </si>
  <si>
    <t>06. PALETIZADORAS DE FARDOS</t>
  </si>
  <si>
    <t>FB0091943</t>
  </si>
  <si>
    <t>Criar procedimento de troca de bobina raumak</t>
  </si>
  <si>
    <t>FB0091975</t>
  </si>
  <si>
    <t>Melhoria no procedimento de troca de bobina</t>
  </si>
  <si>
    <t>no procedimento diz para o operador assim que trocar a bobina passar o filme com cafè porem nem sempre se possivel fazer dessa forma, devido a falha que pode gerar na fotocelula  IT-09-211</t>
  </si>
  <si>
    <t>FB0092008</t>
  </si>
  <si>
    <t>montar um quadro onde conseguimos acompanhar os BOS e as etiquetas de SHE</t>
  </si>
  <si>
    <t xml:space="preserve">A ideia é colocar esse quadro no lado de fora do contêiner da moagem do lado da porta, onde podemos estar acompanhando o fluxo das etiquetas de SHE e os BOS, faríamos ele por turno pra não ficar tudo junto e sabermos qual turno está menos engajado 
Assim o pessoal ficaria mais atento pra não deixar de fazer e poderiam ajudar a lembra as pessoas que esqueceram de fazer 
Nele poderias colocar o nome o turno dos associados, assim cada turno se organizar pra fazer e não esquecer 
Aline: O ideal seria liberar nos tablets o acesso para verificação dessa informação direto pelo DMOS, liberando acesso a criar listas personalizadas, de acordo com a necessidade de cada área. </t>
  </si>
  <si>
    <t>FB0092210</t>
  </si>
  <si>
    <t>Rodo de 1M (cabo) para limpeza torrador 3</t>
  </si>
  <si>
    <t xml:space="preserve">Confeccionar rodo com cabo de 1M para limpeza do esfriador do torrador 3.
chapa de 38cm(largura) X 18cm (altura) (igual a existente no café cru)
Confeccionar suporte para armazenamento
Pedro Ferreira: é necessário solicitar a orçamento para Padrimax. O material deve ser de tubo galvanizado. </t>
  </si>
  <si>
    <t>FB0092211</t>
  </si>
  <si>
    <t>suporte para calha de recebimento de café cru</t>
  </si>
  <si>
    <t>Titular: Nilton Ferreira
fazer suporte para manter a calha na vertical de forma organizada, reduzindo o risco de segurança na área.
Hiago solicitar orçamento ao paulinho</t>
  </si>
  <si>
    <t>05. MOEGAS</t>
  </si>
  <si>
    <t>FB0092212</t>
  </si>
  <si>
    <t xml:space="preserve">escada para entrada e saída da carreta </t>
  </si>
  <si>
    <t>Titular: Nilton Ferreira
fazer ou comprar uma escada de alumínio (tipo escada de piscina) para entrada e saida na carreta de café cru.
Item levantado na auditoria de SHE e avaliado risco ergonômico.
SHE: Foi feito a compra da escada e iremos implementa-la</t>
  </si>
  <si>
    <t>FB0092461</t>
  </si>
  <si>
    <t>colocar uma plataforma na balança B2.3 e B2.4</t>
  </si>
  <si>
    <t>E realizado limpeza nas balanças B2.3 e B2.4 de transporte de café torrado, no local é difícil de colocar escada e tem muita estrutura de ferro pode acontecer acidente. Se colocar uma plataforma como foi realizado do coletor de amostra do torrador 1 fazer o mesmo nas balanças B2.3 e B2.4°.</t>
  </si>
  <si>
    <t>FB0092502</t>
  </si>
  <si>
    <t xml:space="preserve">melhoria na rosca densadora para impacto de densidade </t>
  </si>
  <si>
    <t>Alteração na faixa de amperagem para aumentar o ajuste operacional e reduzir desarme da rosca (melhoria já implementada). Time: Alexandre Oliveira, Jader, Igor Souza, Marcão, Romero e Andyson</t>
  </si>
  <si>
    <t>Alexandre Oliveira</t>
  </si>
  <si>
    <t>FB0094453</t>
  </si>
  <si>
    <t>Instalação de jabra/microfone na sala Piumhi</t>
  </si>
  <si>
    <t>Para conectar remoto em reuniões que acontecem na sala Piumhi (por exemplo OPS2) é conectado jabra. No entanto, o mesmo não possui boa captação de audio de todos presentes na sala, assim a interação remota na OPS 2 fica prejudicada.
Sugestão é instalar um sistema de microfone e, se possível, junto à TV específico para conexão em reuniões.</t>
  </si>
  <si>
    <t>09.20 SALA DE REUNIÃO</t>
  </si>
  <si>
    <t>FB0095351</t>
  </si>
  <si>
    <t>barra da estrutura dos moinhos 1 ao 6</t>
  </si>
  <si>
    <t xml:space="preserve">Risco de bater a cabeça, 
Elaborar Junto com a galera de she se conseguimos fazer uma melhoria nela, como subi ela mais pra cima, fazer uma barra a mais e colocar uma cruzada com a outra tipo um X ou retirar ela mesmo, deixar sem em todos as estruturas dos moinhos.
SHE: precisamos da avaliação estrutural para seguirmos com a autorização da remoção. Não temos o desenho técnico e nem laudo estrutural.  O objetivo é saber se remover essa estrutura iremos comprometer todo o conjunto. Gentileza direcionar para engenharia.
Pedro Ferreira: Do ponto de vista da Engenharia, é necessário elaborar um laudo estrutural da viga, e se através desse, comprova a possiblidade de retirada da viga, entretanto, o valor deste laudo é alto. Será necessário pedir orçamento com a UNIQUE. Assim, Rubens ficará responsável em solicitar orçamento. </t>
  </si>
  <si>
    <t>FB0095590</t>
  </si>
  <si>
    <t>Desbloquear as torras quando ocorrer sobre temperatura na calha, sempre que esse alarme acontece as torras são bloqueadas não permitindo que continuemos tor….</t>
  </si>
  <si>
    <t xml:space="preserve">Desbloquear as torras quando ocorrer “ sobre temperatura na calha “, sempre que esse alarme acontece as torras são bloqueadas não permitindo que continuemos torrando, sendo que seria necessário bloquear apenas o Cavaco para que impeça a temperatura de continuar subindo, até porque ao liberar as cargas ajuda a setar a temperatura no set point ideal ajudando a abaixar a temperatura. Esse ponto foi passado pelo João Cruz e serve de grande adianto para nós em não perder tanto tempo aguardando a temperatura abaixar. 
SHE: Do ponto de vista de segurança não vejo problemas. Necessário validar com a engenharia a ideia.
Pedro Ferreira: Melhoria mexe na lógica, rubens não tem certeza se tem como realizar e está tentando viabilizar, como não tem como cancelar depois de aprovado será mantida em rascunho até a resposta final e então aprovar e concluir ou cancelar!
Pedro Ferreira: No ponto de vista de Engenharia também é possível, entretanto, é necessário validação global do safety mais a alteração da logica dos torradores. Dessa forma, a ideia será CANCELADA, devido a alta complexidade e tempo. </t>
  </si>
  <si>
    <t>Gean Silva</t>
  </si>
  <si>
    <t>FB0095595</t>
  </si>
  <si>
    <t>Feedback</t>
  </si>
  <si>
    <t xml:space="preserve">Facilities é uma área que sempre está aberta em resolver os itens que sugerimos . Muito fácil de trabalhar com pessoas que valorizam o tempo gasto na área para identificar os pontos de melhorias. </t>
  </si>
  <si>
    <t>Ruth Ribeiro</t>
  </si>
  <si>
    <t>09.12 PÁTIO INTERNO</t>
  </si>
  <si>
    <t>FB0096276</t>
  </si>
  <si>
    <t>Bancada para amostras de café verde</t>
  </si>
  <si>
    <t xml:space="preserve">Implementação de uma bancada para colocar amostras de café verde, para facilitar a atividade de retiragem de amostras e otimizar o tempo de atividade que não agregam valor (voltas no setor descenessárias) + subir e descer escadas mais vezes que o necessário </t>
  </si>
  <si>
    <t xml:space="preserve">Coloca uma trava não possibilitando o associado bater o ponto antes de 60 minuto já existe em outras empresa
Fabrizia Soares: inciativa não está prevista para a Planta de Piumhi conforme orientação do Coorporativo. </t>
  </si>
  <si>
    <t>FB0096825</t>
  </si>
  <si>
    <t>PIS e COFINS</t>
  </si>
  <si>
    <t xml:space="preserve">IDEIA 
Sugiro que seja realizada uma avaliação acerca da oportunidade do aproveitamento do incentivo fiscal relacionado à planta (PIS e COFINS) para materiais de almoxarifado, materiais e serviços de manutenção, bem como utilidades. Tenho ciência de que todos os itens essenciais e primordiais para o processo produtivo são passíveis de crédito, e essa informação já foi repassada às equipes de almoxarifado e manutenção. No entanto, é necessário compreender se estamos fazendo o uso adequado desse benefício fiscal. Caso não esteja sendo plenamente aproveitado, é fundamental iniciar a utilização de forma adequada e eficiente.
Gentileza encaminhar essa ideia ao Ricardo Nischida, já tive a oportunidade de adiantar a ideia com ele.
APROVAÇÃO 
Ana, excelente ideia. Obrigada por trazer clareza, inclusive já sinalizando ao próprio Ricardo. </t>
  </si>
  <si>
    <t>FB0097919</t>
  </si>
  <si>
    <t>Robô da 4 é 5</t>
  </si>
  <si>
    <t>Na questão do robô da 4 e 5 sugiro que todos os turnos fizessem a limpeza diária de varrer só tirar o excesso de café no chão ou pacote estourado tirassem, para manter limpo, pois a limpeza do CIL mensal do robô é do 3 turno, a cola gruda muito e suja muito de café, eu sugiro que por favor levante essa questão para todos nós da Fábrica, para nós operadores auxiliares fazessem uma limpeza diária no início de cada turno essa limpeza pode até ser feito na hora do CIL DAS FABRIMAS enquanto um faz a limpeza das fabrimas o outro vai lá e limpa é questão de 2min para limpar, Que todos nós pudessem reconhecer está questão, para ajudar um ao outro , serei grata se essa ideia fossem aplicadas nas áreas, principalmente no robô da 2 e 3 e da PKD, mesmo que não suja muito</t>
  </si>
  <si>
    <t>FB0098422</t>
  </si>
  <si>
    <t>alteração da altura do trilho suporte da régua (altura)</t>
  </si>
  <si>
    <t>Centerlining consta que o valor de trabalho é 174 até 189 ,porém no máximo de trabalho que operadores usam corretamente é 174 de régua o mínimo e o máximo 180 que seria o valor correto de trabalho , o valor acima de 182 apresenta pacote com fundo amassado e o aumento de tamanho causando problemas na entrada da encaixotadora, sendo assim abertura das guia de entrada.</t>
  </si>
  <si>
    <t>FB0098431</t>
  </si>
  <si>
    <t xml:space="preserve">Realizar nova Demarcação </t>
  </si>
  <si>
    <t>Realizar nova demarcação na seladora fitas , pois foi alterado o posicionamento da mesma para esquadrejar a caixa box para melhor posição do robô para melhorar a sucção da caixa . Decisão foi tomada pela manutenção. Após a modificação houve melhora da pressão das unidades geradoras de vácuo.</t>
  </si>
  <si>
    <t>FB0098441</t>
  </si>
  <si>
    <t xml:space="preserve">PARCEIRIA COM LAKE PARK </t>
  </si>
  <si>
    <t xml:space="preserve">IDEIA
No passado tivemos uma parceria com o PTC, por um breve período. Muitos associados não conseguiram se associar por ser um valor bem considerável. Em Capitólio temos o Lake Park, no hotel Balneário do Lago, é um lugar muito bacana para ir com a família, divertido, aconchegante e pertinho de Piumhi.  
Eu já tive desconto no ingresso por ser associada do Sicoob Credialto. Acredito que talvez a gente consiga uma parceria para os associados terem desconto na compra de ingressos. É uma opção excelente de passeio nos finais de semana, certeza que em algum momento todos os associados conseguiriam aproveitar, já que não seria um compromisso mensal, apenas quando quiserem/puderem ir. 
APROVAÇÃO
Aline, obrigada pela sugestão. Eu vou aprovar, a priori, pois imagino ser possível investigar algo, mas garantido mesmo somente com a análise e aprovação da Fabrizia, que precisaria discutir com o time de benefícios.  Vou adicioná-la para poder colocá-la no fluxo. 
Fabrizia Soares: inciativa não está prevista para a Planta de Piumhi conforme orientação do Coorporativo. </t>
  </si>
  <si>
    <t>FB0099243</t>
  </si>
  <si>
    <t>Melhorar guia de loto (etapa teste) para ar comprimido</t>
  </si>
  <si>
    <t xml:space="preserve">Trago  novamente aqui a sugestão de alteração dos guias de loto na etapa do teste. Já mais de 2 vezes me foi reportado que o teste - especialmente nos pontos de ar onde o cadeado vai direto no manômetro - é feito ativando a pistola de ar, para remover energia acumulada e também vendo se a pressão do ar zerou no manômetro. Todos os mapas seguem com o "forçar a válvula" somente - que se aplica aos pontos que requerem o dispositivo vermelho. Hoje, me parece que temos mais travamentos diretos do que na válvula, então é importante atualizar a guia. Já sinto que essa etapa muitas vezes é ignorada nas explicações, e tendo os documentos não atualizados vejo uma fragilidade ainda maior para cobrarmos. 
</t>
  </si>
  <si>
    <t>FB0099246</t>
  </si>
  <si>
    <t>Projeção de pó no teto da PKD</t>
  </si>
  <si>
    <t>Foi observado aumento da quantidade de pó presente no teto da PKD e na estrutura da plataforma do mezanino (amarela).
Tem-se a hipótese de que os exaustores estejam criando um fluxo de ar no interior da máquina vindo dos dosadores para a roda de mandril. Caso, isto seja comprovado como causa, a sugestão de melhoria é instalar um policarbonato isolando a região dos mandris para impedir o fluxo de ar.
Este fechamento deve considerar desmontagem para limpeza diária/mensal e para manutenções.</t>
  </si>
  <si>
    <t>Natalia De Mendonca</t>
  </si>
  <si>
    <t>FB0099331</t>
  </si>
  <si>
    <t xml:space="preserve">Atualização Mapa de Ajustes </t>
  </si>
  <si>
    <t xml:space="preserve">Realizar uma atualização de valores nos pontos marcados no mapa de Ajustes.
Valores esses Estabelecidos por Mário Rizo após manutenção .
Pontos esses .
* Transferência de pacotes 
* Alimentação ( tesoura)
Relton: foi realizado verificação dos parâmetros na maquina, agora e confrontar os parâmetros que foram anotados com o do mapa de ajuste e avaliar a alteração do mapa
</t>
  </si>
  <si>
    <t>FB0100096</t>
  </si>
  <si>
    <t>Melhoria sensor da troca de Silo</t>
  </si>
  <si>
    <t xml:space="preserve">Melhoria na posição do sinal luminoso da IHM do alpino para facilitar a troca de Silo 
Sugestão mudar a posição do sinal luminoso para o outro lado do alpino onde fica bem em frente da mesa do borracheiro de 0 hora 
</t>
  </si>
  <si>
    <t>FB0100105</t>
  </si>
  <si>
    <t xml:space="preserve">Troca das cores do manômetro </t>
  </si>
  <si>
    <t xml:space="preserve">Troca das cores do manômetro PKD não tem visibilidade na cor preta 
----
Resposta: Pedro Ferreira
Ideia em execução, falta pedir os manômetros e aguardar preventiva, para troca dos mesmos. </t>
  </si>
  <si>
    <t>FB0100115</t>
  </si>
  <si>
    <t>apertar aparas</t>
  </si>
  <si>
    <t xml:space="preserve">Algum utensílio específico para apertar as pontas de aparas , pois usam a vassoura , e faz falta ela na linha </t>
  </si>
  <si>
    <t xml:space="preserve">DEV0167850
Falta sistema de parada de emergência nessa esteira na PKD
PROJETO DE SEGURANÇA/ENGENHARIA
- Pedro Ferreira: 
Foi alinhado com o Guilherme e a parte de realização deve ser destinada ao André. </t>
  </si>
  <si>
    <t>CANCELADA</t>
  </si>
  <si>
    <t>FB0100516</t>
  </si>
  <si>
    <t xml:space="preserve">implementar um corrimão ou uma barreira </t>
  </si>
  <si>
    <t xml:space="preserve">Implementar uma barreira separando os paletes de caixa do borracheiro ,pois percebi que a movimentação da empilhadeira fica muito perto do colaborador que está fazendo a atividade do borracheiro correndo risco de atropelamento 
Comentário:
A área de segregação não é permitido a entrada das empilhadeiras, assim, a movimentação dentro da área deve ser somente com palheteiras 
Obs: Comunicar com o time de almoxarifado e Hiago. </t>
  </si>
  <si>
    <t>FB0100990</t>
  </si>
  <si>
    <t>rolete de data da fabrima 2</t>
  </si>
  <si>
    <t>Ao manusear o rolete para arrumar a codificação, o dedo acaba sendo meio espremido devido do rolete do corte ficar próximo do rolete da data ,sugiro que afaste uns dos roletes só um pouquinho para ficar mais fácil de manusear</t>
  </si>
  <si>
    <t>FB0101211</t>
  </si>
  <si>
    <t>Carrinho do detector de metal PKD</t>
  </si>
  <si>
    <t xml:space="preserve">Realizar mudanças no acoplamento da mangueira do carrinho do detector de metal PKD como os dos torradores do rejeito do cablevey como a da foto sugerida para facilitar o acesso com o aspirador para limpezas pôs hoje não consegue passar com aspirador devido ao tamanho do carrinho e a mangueira ficar presa na carcaça e não tem espaço para movimentação . Com o modelo de acoplamento sugerido poderíamos tirá-lo do local para a passagem do aspirador </t>
  </si>
  <si>
    <t>FB0102062</t>
  </si>
  <si>
    <t>material de embalagem no mop</t>
  </si>
  <si>
    <t>Fazer as anotações das embalagens no mop
Pontos positivo
Mais rápido para o operador fazer
Melhor Rastreabilidade para a qualidade e almoxarifado 
Relton: Melhoria do Mop esta em andamento.</t>
  </si>
  <si>
    <t>FB0102437</t>
  </si>
  <si>
    <t xml:space="preserve">Iluminação de parte traseira (corredor) da PKD </t>
  </si>
  <si>
    <t>Colocar uma iluminação em uma parte escura traseira da PKD. Hoje há uma luz no teto, que é pequena e portanto, não clareia essa parte (ver foto). Ao lado há uma luz maior que ajuda a clarear dentro da máquna no ponto imediatamente abaixo. A sugestão é: 
- colocar uma luz maior também nesse ponto onde a luz é pequena e ver se clareia a parte interna que sinalizei
ou 
-instalar uma luz interna para clarear.
São áreas que os operadores precisam facilmente conseguir visualizar a máquina</t>
  </si>
  <si>
    <t>Leandro Freire</t>
  </si>
  <si>
    <t>FB0102890</t>
  </si>
  <si>
    <t>software relacionado a codificação das fabrimas</t>
  </si>
  <si>
    <t>compra de software para conseguir travar o acesso a codificação das fabrimas.</t>
  </si>
  <si>
    <t>FB0102911</t>
  </si>
  <si>
    <t>Colocar um braço móvel</t>
  </si>
  <si>
    <t xml:space="preserve">Colocar braço móvel para colocar a etiqueta ,para evitar pessoas no local de manobra de Empilhadeira,tirando risco de atropelamento 
Resposta: Pedro Ferreira 
Houve aprovação do time de SHE, assim, é necessário criar o equipamento flexível para inserir, assim, deve realizar orçamento com PADRIMAX, ou buscar na internet fontes alternativas para realizar a melhoria.
</t>
  </si>
  <si>
    <t>Fabio S Santos</t>
  </si>
  <si>
    <t xml:space="preserve">IDEIA
Ofertar treinamento de criação de scripts no SAP, para auxiliar e acelerar as demandas diárias. 
APROVAÇÃO 
Aline, estou aprovando sua ideia e podemos pensar em como criar uma academia interna sobre. Estou colocando a Luzia na ideia para nos ajudar a elaborar a proposta no segundo semestre. </t>
  </si>
  <si>
    <t xml:space="preserve">Colocar câmara fria em frente à PKD 
Pedro Ferreira: Essa ideia é de alto custo, dessa forma, sugiro que de sugestão de um projeto para execução da mesma. </t>
  </si>
  <si>
    <t>FB0103726</t>
  </si>
  <si>
    <t xml:space="preserve">válvula esfera </t>
  </si>
  <si>
    <t xml:space="preserve">Em uma auditoria com a Geovana na PKD chegamos a conclusão que é necessário um passo a passo para realizar o bloqueio em alguns pontos que tem na área da PKD. O QE do quadro de loto não está funcionando e o mais viável é colocar o passo a passo nos pontos de bloqueio que é utilizado a válvula esférica 
09/09: Verificando viabilidade com time de SHE
SHE: Aprovado. criar um bloqueio especifico para este esquivamento. Ele não faz parte da PKD. Previsão de conclusão 30/11/2025. </t>
  </si>
  <si>
    <t>FB0103941</t>
  </si>
  <si>
    <t xml:space="preserve">mudar no cil a limpeza das correias colocar somente com água </t>
  </si>
  <si>
    <t xml:space="preserve">Atualizar no cil limpeza das correias somente pra água </t>
  </si>
  <si>
    <t>Carlos Souza</t>
  </si>
  <si>
    <t>FB0104088</t>
  </si>
  <si>
    <t xml:space="preserve">quadro de utensílios de limpeza </t>
  </si>
  <si>
    <t>Colocar quadro de utensílios de limpeza exclusivo para peneiras</t>
  </si>
  <si>
    <t>09. PENEIRAS</t>
  </si>
  <si>
    <t xml:space="preserve">IDEIA 
Utilizar uma peneira elétrica para peneirar o café na moega, isso vai fazer com que haja redução do tempo e melhoria no esforço do auxiliar/operador, visto que para esse processo requer tempo e uma peneira com tamanho ideal parta que o café não caia no chão. Logo, com a aplicação da peneira elétrica, o seu tamanho é dimensionada em relação a abertura da moega.  
---------
APROVAÇÃO 
Pedro, por favor, pode verificar com algum técnico um protótipo ou pesquisar uma solução de mercado (a Verde equipamentos que você cita abaixo tem?). Precisamos de algum anexo e referência para providenciar sua solução. </t>
  </si>
  <si>
    <t>FB0104186</t>
  </si>
  <si>
    <t>Novo ponto de CIL</t>
  </si>
  <si>
    <t>Adicionar no CIL MEnsal das Fabrimas o ponto C de limpeza do sensor dos robôs com um pano seco (SEM USAR SABÃO) 
IDEIA JÁ EXECUTADA</t>
  </si>
  <si>
    <t>FB0104288</t>
  </si>
  <si>
    <t xml:space="preserve">Atualização no formulário da PKD </t>
  </si>
  <si>
    <t xml:space="preserve">Adicionar uma parte de "vibração" em todos os silos que trocarem, ou seja, caso peguem algum café ruim consigamos controlar pela vibração e ver o que aconteceu (máquina ou moinho). </t>
  </si>
  <si>
    <t>FB0104299</t>
  </si>
  <si>
    <t>Funil de alimentação do quarteador de café verde</t>
  </si>
  <si>
    <t>fazer um funil para jogar a amostra de café no quarteador sem precisar descer da plataforma da moega.
melhora da condição ergonômica para jogar o café</t>
  </si>
  <si>
    <t>FB0104714</t>
  </si>
  <si>
    <t>INSTALAR TOMADA 110V NO MOS ACADEMY, PARA CONECTAR TELEVISÃO E CAIXA DE SOM EM EVENTOS/ REUNIÕES.</t>
  </si>
  <si>
    <t xml:space="preserve">IDEIA
INSTALAR TOMADA 110V NO MOS ACADEMY, PARA CONECTAR TELEVISÃO E CAIXA DE SOM EM EVENTOS/ REUNIÕES.
--------
APROVAÇÃO 
Obrigada, Ana, pela ideia. Estou aprovando para seguirmos. Pedro, levantar com o Lucas Obrien os materiais e passar para o PCM na reunião de etiquetas. </t>
  </si>
  <si>
    <t xml:space="preserve">Falado com o mecânico de colocar uma chapa em baixo pra conter o vazamento ( soldar ela ali pro café não ficar caindo no chão) 
Ou até fazer como ficou lá no elevador 2 troca a caixote deles </t>
  </si>
  <si>
    <t>FB0104961</t>
  </si>
  <si>
    <t>Melhorias Visuais - CIL PKD</t>
  </si>
  <si>
    <t xml:space="preserve">Para facilitar a marcação no quadro de rotina diária (OPS1) de MOS poderia ser colocado no roda pé do CIL a quantidade de pontos de limpeza e inspeção e o tempo programado afim de garantir uma marcação real no quadro e agilizar o processo para que não haja necessidade de contagem diária pelos operadores </t>
  </si>
  <si>
    <t>FB0105022</t>
  </si>
  <si>
    <t xml:space="preserve">ligar coleiro </t>
  </si>
  <si>
    <t xml:space="preserve">Domingo de star , quando for empacotar canaleta fechada  , poderia alinhar com a manutenção do segundo ,para ligar o coleiro , pois ele demora em média até 02:00 para aquecer por completo , e iniciando. Produção  muito tarde </t>
  </si>
  <si>
    <t>FB0105203</t>
  </si>
  <si>
    <t>Troca de silo automática no silo de pó</t>
  </si>
  <si>
    <t>Realizar a troca de silo sem a necessidade do operador, baseada na troca de silo do torrador em café crú.
Com o sensor instalado no silo de pó acusando final de silo a troca seria automática para o próximo silo, seria como uma lista pré existente dos silos disponíveis, que seria alimentada pelo operador de moagem.</t>
  </si>
  <si>
    <t>FB0105365</t>
  </si>
  <si>
    <t>coletora de amostra de café em pó ( melhoria cada grão conta )</t>
  </si>
  <si>
    <t xml:space="preserve">Ideia, Trazer a trava do café até o fim, assim  evitaria cair café no chão 
Usar a mesma trava que já tem só adapta ela pra ficar na ponta agora 
Ou usa a mesma trava que tem em baixo das densadora como na segunda imagem 
</t>
  </si>
  <si>
    <t>Yeld</t>
  </si>
  <si>
    <t>FB0106168</t>
  </si>
  <si>
    <t xml:space="preserve">Acrescentar novo campo de informação </t>
  </si>
  <si>
    <t xml:space="preserve">Acrescentar um novo campo de informação de operador com a informação.
Operador PKD :
Operador Encaixotadora:
Pois  a revezamento entre os operadores , com podemos contratar melhor as informações de determinada máquina caso seja necessário </t>
  </si>
  <si>
    <t>FB0106189</t>
  </si>
  <si>
    <t>DEMARCAÇÕES 5S</t>
  </si>
  <si>
    <t>Em todos os pontos que for possível, realizar a pintura do chão, para evitar a necessidade de troca constante de fitas. 
Verificar a possibilidade de comprar as formas e o Caluan realizar a pintura.</t>
  </si>
  <si>
    <t>FB0106228</t>
  </si>
  <si>
    <t>a fita .</t>
  </si>
  <si>
    <t>A fita está balançando .
RETORNO:
[LUZIA] Acredito que seja possível redirecionar a posição do ventilador antes de seguir com a análise da instalação do acrilico. Manufatura avaliar.</t>
  </si>
  <si>
    <t>Andre Campos</t>
  </si>
  <si>
    <t>FB0106229</t>
  </si>
  <si>
    <t>implementar fonte de energia tomada para os aspiradores de pó</t>
  </si>
  <si>
    <t>Ter mais acessibilidade para os operadores realizar as atividades diárias de limpeza, como a utilização dos equipamentos fornecidos para nosso uso, facilitando nosso dia a dia como operação para a limpeza das Raumaks e acredito que na linha no geral, porque o aspirador não conecta em qualquer tipo de tomada.</t>
  </si>
  <si>
    <t>FB0106337</t>
  </si>
  <si>
    <t>Tomada na área da Raumak 04</t>
  </si>
  <si>
    <t>Idea para a implementação de uma tomada propria para o aspirador de pó das Linhas 04 e 05 próximo à raumk. Pois atualmente não conseguimos usar o aspirador na raumak porque a tomada fica na fabrima.
Impacto: Melhor limpeza da máquina e redução de falhas causadas por sujeria.
Material necessário: Tomada de 20A e 50m cabo de 3 vias PP 2,5mm². 
Mão obra: 
-&gt; 08h x 2 eletrônicos para executar. Empacotametno parado - vai desligar o painel.
Preferencialmente Jader pois ele já está alinhado da atividade.</t>
  </si>
  <si>
    <t>FB0106340</t>
  </si>
  <si>
    <t>cil de consulta</t>
  </si>
  <si>
    <t xml:space="preserve">Cil de consulta fixado na Raumak e fabrima (em uma bolsa, plastificado igual ao Centerlining da Fabrima)
Motivo: quando o operador chega no início do turno ele executa o CIL e neste momento o formulário do CIL está ou no container (para ser assinado) ou no com o controlador (para ser lançado). Com isso o operador não tem a clareza de todos pontos que precisa limpar naquele dia em específico a não ser que ele se recorde da programação completa (existem atividades que acontecem em alguns dias e turnos específicos).
</t>
  </si>
  <si>
    <t>Bruna Santos</t>
  </si>
  <si>
    <t>FB0106357</t>
  </si>
  <si>
    <t xml:space="preserve">troca fixação da mesa de revisão </t>
  </si>
  <si>
    <t xml:space="preserve">Fazer troca de fixação da mesa de revisão de vácuo </t>
  </si>
  <si>
    <t>FB0106416</t>
  </si>
  <si>
    <t>Bandeja para retirada de cavaco.</t>
  </si>
  <si>
    <t>Solicito junto a She, manufatura,engenharia e manutenção uma melhoria para retirada de Cavaco, poderia ser uma bandeja com rodinhas para melhor manuseio na retirada do cavaco.
Aguardo retorno para resolução do problema.
PEDRO FERREIRA: Foi conversado com a manutenção e estamos aguardando orçamento</t>
  </si>
  <si>
    <t>Michel Felipe da Silva Pio</t>
  </si>
  <si>
    <t xml:space="preserve">criar ponto superior de tomada para o ventilador, para eliminar cabo electric o no chão.
a ideia é usar o suporte que se encontra na parede mais a frente, ele era usado para a seladora de fitas, antigo ponto de revisão de vácuo 
</t>
  </si>
  <si>
    <t>FB0106811</t>
  </si>
  <si>
    <t>Baldes de Inox para rejeitos das peneiras</t>
  </si>
  <si>
    <t>Ideia para baldes de inox para as peneiras da PKD,Fabrimas 2,3,4 e 5 visando padronização e melhoria na questão de limpeza.
Atualmente os baldes não são padronizados e possuem vazamentos. Além do aspecto visual.</t>
  </si>
  <si>
    <t>FB0106969</t>
  </si>
  <si>
    <t xml:space="preserve">Sensor  troca de silo sonoro visual </t>
  </si>
  <si>
    <t xml:space="preserve">Instalação de sensor para troca de silo nas fábrimas, igual ao instalado na PKD para não perdermos tanto tempo nas trocas de silo e levantarmos nosso GE, termos uma eficácia maior na nossa gestão durante nosso processo e em nossos turnos.
Pedro Ferreira: 
Ideia em execução, já foi comprado as sirenes e aguardamos a manutenção realizar a instalação. </t>
  </si>
  <si>
    <t>Wallace Pereira</t>
  </si>
  <si>
    <t>FB0106983</t>
  </si>
  <si>
    <t>ponto de tomada</t>
  </si>
  <si>
    <t>Ponto de tomada para as limpezas dos moinhos durante a preventiva pois hoje precisa usar extensão, ponto de tomada fica longe e ponto de energia do moinho fica bloqueado no lototo
Não conseguimos fazer interno, necessário acionar Marzinho</t>
  </si>
  <si>
    <t xml:space="preserve">Coloca mais um sensor de presença para informar o nível das aparas no IHM, evitando que a máquina pare por excesso de aparas.
Pedro Ferreira: Já existe um sensor, entretanto, esse sensor fica na tubulação para impedir que as aparas obstrua a máquina. Portanto, essa ideia será CANCELADA. </t>
  </si>
  <si>
    <t>FB0106988</t>
  </si>
  <si>
    <t>Peneira 1,2 e 3</t>
  </si>
  <si>
    <t xml:space="preserve">Peneira 1,2 e 3, Ao fazer a inspeção das peneiras tem que levar varremesa,pá e vassoura, a minha ideia é que pudesse ter um quadro onde fica a vasssoura e a pá e os varremesa que nem no empacotamento, para facilitar ao levar pois facilitaria ao subir as escadas e segurar nos corrimãos </t>
  </si>
  <si>
    <t>FB0106991</t>
  </si>
  <si>
    <t xml:space="preserve">mentalidade de dono segurança por turno </t>
  </si>
  <si>
    <t>A ideia é dar suporte de BOS por turno , EX : cada turno ter alguém para dar suporte em comportamento de segurança, onde às vezes uma pessoa pode acreditar que não tem ninguém fazendo observações ou até mesmo orientá-lo sobre segurança e de como realizá-lo com segurança, sobre IPs, 
Ter uma pessoa específica para ser responsável pelo amadurecimento do time por inteiro de comportamento de segurança. 
SHE: em relçação ao suporto do turno o proprio coordenador é capaz de orientar e o assistente está sendo treinado. As outras frentes o coordenador e o assistente pode contribuir tambem com este tema. Paralelamente temos o projeto Comportamento que esta na segunda onda onde estão sendo formados mais associados em relação a condução e aplicação do BOS de maneira mais assertiva. A operação participará na terceira onda.</t>
  </si>
  <si>
    <t>FB0106993</t>
  </si>
  <si>
    <t xml:space="preserve">pontos de CIL </t>
  </si>
  <si>
    <t>Essa parte do CIL , sobre roletes não são feitas diariamente, e sim semanalmente ou quando ter paradas grandes  sobre os roletes ( poderia ser considerada)</t>
  </si>
  <si>
    <t>FB0106994</t>
  </si>
  <si>
    <t xml:space="preserve">cabeçote de impressão </t>
  </si>
  <si>
    <t xml:space="preserve">Esssa parte não é feita uma limpeza diária e sim quando da problema no datador ou troca de borracha </t>
  </si>
  <si>
    <t>FB0106995</t>
  </si>
  <si>
    <t xml:space="preserve">elevador de fardos </t>
  </si>
  <si>
    <t xml:space="preserve">Não é limpeza feita diária </t>
  </si>
  <si>
    <t>FB0106996</t>
  </si>
  <si>
    <t xml:space="preserve">base do robô </t>
  </si>
  <si>
    <t>Somente é feita a limpeza do robô na área do chão diária , a base somente final de mês pelo terceiro</t>
  </si>
  <si>
    <t xml:space="preserve">Pressão do mordente baixo causando mordaça durante turnos ,foi acionado eletrônico para aumentar para 5 a pressão do manômetro, acrescentar inspeção e demarcação no centerling para evitar futuros problemas relacionado a isso
Relton: esse manômetro não se refere ao manômetro dos mordentes, esse manômetro da imagem e o ar comprimido que chega no equipamento e vai pra todos os componentes da máquina.  
o manômetro dos mordentes ja tem CL </t>
  </si>
  <si>
    <t xml:space="preserve">A bomba de vácuo 01 desliga com frequência, causando risco de perda de vácuo,  o IHM deveria acusar para a máquina parar, mas isso não acontece. Minha sugestão é que talvez  colocar, uma sirene em cada bomba assim o operador visualiza quando a bomba der qualquer sinal.
Pedro Ferreira: quando o disjuntor desarma ou ocorre alguma falha na bomba, já gera um alarme na IHM da PKD, porém, esse alarme só não aciona quando está desabilitada pelo operador. Portanto, a ideia será CANCELADA. Mas, favor verificar se o erro persiste, caso sim, poderia abrir uma etiqueta. </t>
  </si>
  <si>
    <t>FB0107101</t>
  </si>
  <si>
    <t xml:space="preserve">raspadores das peneiras rotativas  </t>
  </si>
  <si>
    <t>Tentar fazer o corte no raspador menor para que possa ter  duas ou mais regulagem , antes da troca do mesmo.
ANA MARTINS: Já estamos verificando a possibilidade de comprar a peça dos raspadores inteira para realizarmos os cortes aqui na manutenção.</t>
  </si>
  <si>
    <t>FB0107106</t>
  </si>
  <si>
    <t>Banco de Dados de Projetos</t>
  </si>
  <si>
    <t>Criar um banco de dados de projetos para que se tenha informações de projetos anteriores que forma considerados inviáveis no momento, mas que tem informções importates para novos projetos.
RETORNO:
[LUZIA] Criamos o cadastro de projetos de 2025 e todos os projetos cadastrados serão alocados em uma pasta no sharepoint da planta para consolidação de informações sobre o mesmo. Acredito que já seja um início de construção deste banco que poderá ter melhorias futuras.</t>
  </si>
  <si>
    <t>FB0107553</t>
  </si>
  <si>
    <t>Melhoria grade de proteção fabrima 2</t>
  </si>
  <si>
    <t xml:space="preserve">Fazer mudança na grade de proteção para que o associado não precise sair com o corpo para fora para colocar a etiqueta do palete no pregador, correndo o risco de atropelamento.
-----
APROVAÇÃO: 
Aprovação de manutenção e SHE, dessa forma, a parte de cortar a grande é possível realizar mais rapidamente.
Entretanto, a segunda parte, no robô da PKD, manutenção disse que vai estudar a melhor forma de resolver a solicitação. 
-Pedro Ferreira: Ideia já orçada e aguardando PADRIMAX parta execução.
 </t>
  </si>
  <si>
    <t>FB0107583</t>
  </si>
  <si>
    <t xml:space="preserve">Escaninho para folhas de papel área de revisão </t>
  </si>
  <si>
    <t xml:space="preserve">Colocar um escaninho de papel, afim de guardar as folhas de revisão dos retorno de paletes, assim podendo reaproveitar as folhas eliminando desperdício e melhora no controle de limpeza da área </t>
  </si>
  <si>
    <t>Mauricio Ferreira</t>
  </si>
  <si>
    <t>FB0107755</t>
  </si>
  <si>
    <t xml:space="preserve">mordente de selagem </t>
  </si>
  <si>
    <t xml:space="preserve">Acrescentar uma pequena asa de ferro na lateral dos mordentes para facilitar a remoção durante as trocas de produto,não sendo mais necessário o uso de ferramentas como martelo e chave de fenda que por sua vez pode danificar as peças </t>
  </si>
  <si>
    <t>FB0107938</t>
  </si>
  <si>
    <t xml:space="preserve">emplilhadeira para virar tambor </t>
  </si>
  <si>
    <t xml:space="preserve">É necessário uma empilhadeira que vira os tambores de detector de metal e do regeito do distribuidor… pois é muito pesado para uma pessoa virar na caçamba sozinha podendo até  causar problemas na coluna.. com a empilhadeira facilitava o trabalho que nem sempre tem duas pessoas pra ir virar os baldes na caçamba 
09/09 - Precisa de apoio de SHE para validar a ideias
segue vídeo da sugestão: https://www.youtube.com/watch?v=8scg3cuB9ZU
Pedro Ferreira: Na visão de CI, é uma ótima ideia e importante, precisamos apenas do orçamento de onde podemos encontrar esse tipo de carrinho, ou adaptação. Pessoal de SHE comprou carrinhos parecido, poderia verificar com a empresa se eles produzem esse tipo de carrinho também. 
</t>
  </si>
  <si>
    <t>FB0107942</t>
  </si>
  <si>
    <t xml:space="preserve">Aumento do suporte dos eixos expansivos </t>
  </si>
  <si>
    <t>Aumentar o suporte do eixo expansivo para que consiga colocar os dois eixos reserva e também a bobina strech 
ANA MARTINS: Passar para o Cleiton executar.</t>
  </si>
  <si>
    <t>Lucas Carvalho</t>
  </si>
  <si>
    <t>FB0108243</t>
  </si>
  <si>
    <t>Grade de proteção área PKD</t>
  </si>
  <si>
    <t xml:space="preserve">Grade com pontas para cima, risco de lesões no braço do associado. 
Apenas precisa ser virada para que assim elimine o risco de lesão do associado.
-APROVAÇÃO: 
Orçamento em anexo no valor de R$ 567,00
</t>
  </si>
  <si>
    <t>Jhonnathan Pereira</t>
  </si>
  <si>
    <t>FB0108920</t>
  </si>
  <si>
    <t>Página Sumário de Ferramentas de Auditorias</t>
  </si>
  <si>
    <t>Criar uma pagina no SharePoint com os links de todos os Forms que usamos na fábrica para fazer auditorias. Por exemplo: Helth Check, Complition&amp;Complice</t>
  </si>
  <si>
    <t>FB0109063</t>
  </si>
  <si>
    <t>LEITE QUENTE</t>
  </si>
  <si>
    <t xml:space="preserve">Ver a possibilidade de providenciar leite quente durante a temporada de frio. Deixando em anexo a foto de uma garrafa térmica, que seria interessante para essa ocasião. 
OBS: Valor está considerando 2 unidades da garrafa, devido a necessidade da padaria, ter que levar uma para lavar e deixar a outra com leite aqui. </t>
  </si>
  <si>
    <t>09.17 REFEITÓRIO</t>
  </si>
  <si>
    <t>FB0109102</t>
  </si>
  <si>
    <t>Sinalizador Luminoso para esvaziamento de silos</t>
  </si>
  <si>
    <t xml:space="preserve">Instalar sinalizadores luminosos para esvaziamento de silos, desse forma, seria um para fabrima 04 e 05, visto que essa puxam café do mesmos silos, e uma paras fabrimas 02 e 03. Portanto, é para fazer semelhante o que foi feito na PKD, porém, a função dessa seria apenas alertar os operadores do esgotamento dos silos. </t>
  </si>
  <si>
    <t>FB0109290</t>
  </si>
  <si>
    <t xml:space="preserve">Abertura de uma “porta” de vazão para água e sujidades ao lavar câmaras de torras e esfriamento. </t>
  </si>
  <si>
    <t>Abertura de uma “porta” de vazão para água e sujidades no berço da rosca plana de torrado, para ajudar na lavagem das câmaras de torra e esfriamento, devido a local de difícil acesso para limpar as roscas, além de eliminar a contaminação das roscas ao arrastar sujidades da lavagem para poder retirar mais à frente da rosca no despedrador. Com as portas novas essa sujidade desceria direto para a bandeja sem contaminar a rosca plana/inclinada e despedrador, pois mesmo após a passar torras de limpeza essa sujidade não é removida 100%, deixando também um mal cheiro muito forte no sistema podendo ser absorvido pelo café ao retornar com as torras normalmente. 
SHE: do ponto de vista de segurança não vemos problema na instalação da tampa. Porem esta tampa deve ser parafusada e quando houver limpeza a rosca e o sistema deve estar bloqueados. Durante a instalação avaliaremos a necessidade de aplicação de LOTOTO.</t>
  </si>
  <si>
    <t>FB0109361</t>
  </si>
  <si>
    <t>centerling PKD - modificações</t>
  </si>
  <si>
    <t xml:space="preserve">&gt; alimentação do filme caneladores -&gt; adicionar marcação amarela pois é recurso de ajuste em caso de encanoamento. necessário anotar no comentário a identificação da bobina com encantamento.
&gt; entrada de material - pentes de formação &gt;&gt; alterar para distância e alinhamento dos pentes 
&gt; formação do pacote - mesa de alimentação &gt;&gt; necessário fazer range de faixa verde e atualizar a foto do monitoramento 
&gt; socadores- 174 = máquina não permite
&gt; vibração &lt;30% = desligado
&gt; roda mandril - manômetro pressão do mordente  = trocar manômetro pois não dá para ler
qualquer dúvida favor me procurar </t>
  </si>
  <si>
    <t>FB0109815</t>
  </si>
  <si>
    <t xml:space="preserve">Alteração CIL </t>
  </si>
  <si>
    <t>Visto pela operadora, em uma troca de teflons do conjunto de selagem dos mordentes horizontais, traseiro e dianteiro, há necessidade da troca dos teflons, troca das borrachas de selagem (caso seja necessário) e do níquel cromo (caso seja necessário). 
Como uma ação no *Mentalidade de Dono* sugeri que ao invés dessa troca ser somente mensal fazer alteração no CIL a cada 15 dias .</t>
  </si>
  <si>
    <t>FB0109864</t>
  </si>
  <si>
    <t xml:space="preserve">Layout Tablet </t>
  </si>
  <si>
    <t>Colocar uma aba no campo de filtro do DMOS de forma que as BDAS  E TAREFAS DA ÁREA FIQUEM SEPARADAS das Etiquetas  para melhor visibilidade nas reuniões.
Retorno:
29/10/2025 - Melhoria aberta para o time global: FB0125968</t>
  </si>
  <si>
    <t>FB0110022</t>
  </si>
  <si>
    <t xml:space="preserve">Organização nas prateleiras do almoxarifado </t>
  </si>
  <si>
    <t>Realizar a compra com caixas organizadoras e bacias de contenção para que possamos organizar nossos estoque de itens do almoxarifado ( EPIs, materiais de escritórios, saco de lixo etc)</t>
  </si>
  <si>
    <t>FB0110023</t>
  </si>
  <si>
    <t>portas nos armários do almoxerifado</t>
  </si>
  <si>
    <t xml:space="preserve">Colocar portas nos armários do almoxarifado facilitando os almoxarifes no controle de itens menos divergência  e colocando cadeados em
Todos os armários </t>
  </si>
  <si>
    <t>FB0110024</t>
  </si>
  <si>
    <t>Fazer nos armários do almoxarifado listas em cada armário com os itens</t>
  </si>
  <si>
    <t xml:space="preserve">Fazer listas nas portas dos armários com códigos e nomes nos armários assim facilitando na procura dos itens e já ir direto no item desejado com folhas plastificadas </t>
  </si>
  <si>
    <t>FB0110262</t>
  </si>
  <si>
    <t>Aspirador de Pó PKD</t>
  </si>
  <si>
    <t>Realizar a aquisição de um novo Aspirador de pó , para que os dois operadores possam aspirar a PKD .
Essa solicitação veio por meio da mudança no formato na limpeza onde foi banido o uso de Ar Comprimido.
E também com dois Aspiradores pode fazer mudanças no CIL incluindo a parte de traz da PKD uma vez na semana para realizar a limpeza e aspiração.
OBS : A limpeza da encaixotadora é possível ser realizada durante o carregamento da esteira Alpino  pós o início de produção. Da PKD
OBS : A instalação de um ponto para a guarda do mesmo onde possam ficar trancados de forma que não são retirados os componentes com mangueira e bicos.</t>
  </si>
  <si>
    <t>FB0110423</t>
  </si>
  <si>
    <t>tampar partes abertas das fabrimas</t>
  </si>
  <si>
    <t xml:space="preserve">Tampar partes abertas das fabrimas,para diminuir sujeira 
</t>
  </si>
  <si>
    <t>FB0110541</t>
  </si>
  <si>
    <t xml:space="preserve">Limitador de Parada </t>
  </si>
  <si>
    <t>Realizar a colocação de um batente fixado ao solo de modo que as gaiolas de  descartes não colide com a tela de  limitação para que não haja estragos na tela como representa a foto acima 
SHE: reprovado. Se esta batendo é porque não estão controlando a velocidade das gaiolas.</t>
  </si>
  <si>
    <t>FB0110544</t>
  </si>
  <si>
    <t xml:space="preserve">necessário um auxiliar para fazer limpeza de preventiva ou travamento da máquina </t>
  </si>
  <si>
    <t xml:space="preserve">Durante os dias normais mantenha o auxiliar nas linhas do empacotamento , mas quando necessário limpeza dos moinhos deslocar para ajudar o operador ,muito difícil operador fazer análises ter precisão de identificar anomalia do café , rapidez de identificar final de silo , inicia silos ,e as análise de 30 minuto e lavagem das peneira para próximas análise da moagem e controladora e ter que limpar moinho em dias específico e garantir a qualidade do café dentro do padrão de qualidade </t>
  </si>
  <si>
    <t>FB0110549</t>
  </si>
  <si>
    <t xml:space="preserve">o silo de dosagem </t>
  </si>
  <si>
    <t xml:space="preserve">O silo que era exclusivo para a máquina de grão ,está sendo inutilizado na fabricar , aproveitar que está com a estrutura montada fazer ele exclusivo para reprocesso que possa introduzir em todos os silos de pó , a desmontagem dele geraria um gasto e sendo que nosso processo gerar não conformidade por diversas razão ,aproveitando a estrutura deixando o silo exclusivo para reprocesso de linha e outras não conformidade que processo gerar , tendo assim não atraso na linha não parada por silo cheio e trocas de inversor. </t>
  </si>
  <si>
    <t xml:space="preserve">Foi discutido em reunião, após a reunião de comunicação, a compra de um micrômetro para a aferição da espessura do filme de embalagem. 
Com essa aferição podemos descartar umas das maiores hipótese da bobina não “rodar”, que é a “essa embalagem está mais fina”.
Pedro Ferreira:
Necessário que faça orçamento e passe para CI gerar o pedido de compra. </t>
  </si>
  <si>
    <t>FB0110684</t>
  </si>
  <si>
    <t xml:space="preserve">Duas rodinhas fixas e duas moveis, facilitar na locomoção </t>
  </si>
  <si>
    <t>Tocar duas rodinhas do aparelho de análise de granulometria de Cavaco, para ficar duas fixas e duas moveis, irá facilitar na locomoção do mesmo</t>
  </si>
  <si>
    <t>FB0110718</t>
  </si>
  <si>
    <t xml:space="preserve">fazer um app pra substituir o relatório dos ímãs </t>
  </si>
  <si>
    <t xml:space="preserve">A ideia é facilitar o preenchimento, ajudar em caso de desvio no turno assim quanto no anterior, seria bom se nele tiver como tirar foto pra deixar mais fácil de resolver qualquer desvio, podendo facilitar a rastreabilidade do processo em caso de desvio, cada op com seu login, </t>
  </si>
  <si>
    <t>FB0110830</t>
  </si>
  <si>
    <t>Balança na área do empacotamento almofada.</t>
  </si>
  <si>
    <t>Colocar uma balança na área de empacotamento almofada, para facilitar a pesagem, para os operadores de fabrima, hoje, eles tem que dar uma volta muito grande, para realizar esta tarefa, acredito que se tiver uma balança na área de almofada, será um incentivo para a realização da tarefa.
Relton: ideia aprovada, visto que realmente tem a necessidade de uma balança mais próxima das almofadas para pesas bobinas de RO</t>
  </si>
  <si>
    <t>FB0110832</t>
  </si>
  <si>
    <t>Caçamba na área do empacotamento almofada</t>
  </si>
  <si>
    <t>Colocar uma caçamba na área do empacotamento fabrima. Hoje os operadores tem que dar uma volta muito grande para descartar os resíduos orgânicos, o que é ergonomicamente inviável, pois os carrinhos são baixos, e a distância é longa. Se colocar uma balança ao lado da caçamba, será melhor ainda, pois incentivaremos a pesagem do descarte, melhorando a acuracidade, para o o fluxo de apontamento do CADA GRÃO CONTA.</t>
  </si>
  <si>
    <t>FB0110844</t>
  </si>
  <si>
    <t>ASPIRADOR PORTÁTIL</t>
  </si>
  <si>
    <t>Aquisição de um aspirador portátil, para limpeza dos moinhos e assim realizar o reaproveitamento de café que fica acumulado nos rolos e nas portas.
Participantes da ideia: Aline, Ricardo e Caique.
HIAGO: Aprovado. Validar solução com qualidade.</t>
  </si>
  <si>
    <t>FB0110895</t>
  </si>
  <si>
    <t>Modificação CL</t>
  </si>
  <si>
    <t xml:space="preserve">Implementar no CIL a inspeção das borrachas ou troca caso necessário retirando do CL . Visto que ela faz parte do conjunto de selagem dos fardos da Raumak como sugerido em outra ideia, fazer a troca das borrachas se necessário for a cada 15 dias juntamente com os teflons de selagem dos mordentes traseiros e dianteiros. </t>
  </si>
  <si>
    <t>FB0110970</t>
  </si>
  <si>
    <t>CGC - Cada Grão Conta</t>
  </si>
  <si>
    <t>Inserir no CGC (Cada Grão Conta) as embalagens de reprocesso.
HIAGO: Caique Verificar se já está incluido no FORMS, por favor</t>
  </si>
  <si>
    <t>FB0111197</t>
  </si>
  <si>
    <t>IMPLANTAÇÃO MRP - ALMOXARIFADO (PROJETO)</t>
  </si>
  <si>
    <t xml:space="preserve">Parametrizar para o nosso almoxarifado a MRP, para que tenhamos um melhor controle do nosso estoque. 
Além da parametrização do SAP, será realizado dentro do escopo do projeto: 
- Fechamento das prateleiras, para controle de acesso.
- 5S na organização, compras de caixas organizadora e bacias de contenção.
- Identificação dos itens armazenados, com códigos e nomes.
- Ficha externa/espelho com os itens que vão estar dentro do armário, assim facilitando a identificação, sem precisar realizar a abertura do armário.
- Automatização de conferência de NFs na FBL1N, através de script.
- Alinhamentos com time de compras, quanto ao prazo de correção de divergências + planilha de controle compartilhada.
Time do projeto: Aline, Caique V, Camila S, Joelma e Henrique.
Projeto está em andamento desde de 10/03
</t>
  </si>
  <si>
    <t>FB0111369</t>
  </si>
  <si>
    <t xml:space="preserve">Uso de escada Para saída segura de carretas </t>
  </si>
  <si>
    <t>Propor a adoção de uma escada tipo marinheiro com uns 4 degrau mais o menos para auxiliar a saída de pessoas de dentro.
Atualmente, ao finalizar as descarga é comum os associados saltarem para sair do compartimento, essa prática representa um risco de acidentes, como torções, lesões nos membros.</t>
  </si>
  <si>
    <t>FB0111453</t>
  </si>
  <si>
    <t>Atualização CIL</t>
  </si>
  <si>
    <t>Tem um campo de limpeza e inspeção que seria a base do robô que e é realizado uma vez por semana, a ideia e dividir a limpeza colocar ela diária e a inspeção uma vez por semana, para garantir a limpeza próximo ao coleiro visto que já temos problemas relacionado ao coleiro devido a sugidade</t>
  </si>
  <si>
    <t>FB0111454</t>
  </si>
  <si>
    <t xml:space="preserve">Adicionar coleiro no programa de capacitação </t>
  </si>
  <si>
    <t>FB0111504</t>
  </si>
  <si>
    <t xml:space="preserve">manutenção preventiva no robô </t>
  </si>
  <si>
    <t>O robô da muitas  falhas , onde a operação do entra e reseta ou faz os ajuste básicos , mas nada que possa resolver os problemas raiz , é sempre acontece os as mesmas paradas , incluindo uma preventiva mensal , pode ser que melhore a performance do robô EX: pallet não expulsa -robô travando na  hora d pegar outro pallet - não expulsando o pallet completo e a operação tem que entrar e empurrar com esforço físico , são alguns dos problemas mais recorrentes 
Manutenção: sobre esta ação o Andre Mendes (confiabilidade) esta montando todos os planos preventivos para inserir no program SAP.</t>
  </si>
  <si>
    <t>FB0111768</t>
  </si>
  <si>
    <t>bicas para descarga</t>
  </si>
  <si>
    <t xml:space="preserve">As bicas tortas para descarga de café cru ficam espalhadas na prataforma atrapalhando o tráfego dos colaboradores e quase sempre não são usadas.
Com a construção de um suporte sendo um cano de ferro com 6 ganchos as bicas ficariam ali mesmo próximo ao canto da parede não atrapalhando o tráfego dos colaboradores e sendo de fácil acesso quando precisar dás mesmas </t>
  </si>
  <si>
    <t>FB0111819</t>
  </si>
  <si>
    <t xml:space="preserve">are de resíduo orgânico </t>
  </si>
  <si>
    <t xml:space="preserve">Melhorar a área de resíduo orgânico 
Grade com furores menores para segurar o lixo comum e também se tiver algum peça no rejeito do detector de metal 
Vassoura e pasinha para varrer a área 
Rodo para mecher o café na grade e separar o lixo orgânico 
Placa com identificação da área </t>
  </si>
  <si>
    <t>FB0111820</t>
  </si>
  <si>
    <t>alteração na escrita do CIL fab 5</t>
  </si>
  <si>
    <t xml:space="preserve">Limpeza da esteira após o tobogã atualizar para ser com aspirador para retirada da sujeira nos espaços pequenos ,para evitar paradas devido sujidade na esteira </t>
  </si>
  <si>
    <t>FB0112019</t>
  </si>
  <si>
    <t xml:space="preserve">remarcoes de centerlining </t>
  </si>
  <si>
    <t>Fazer as remarcações nos roletes das fabrimas, assim conseguimos manter melhor a performance da máquina e padronizar a operação , mantendo a vertical alinhada .</t>
  </si>
  <si>
    <t>FB0112072</t>
  </si>
  <si>
    <t>MELHORIA NAS FIXAÇÕES DOS MOINHOS</t>
  </si>
  <si>
    <t>Moinhos com vazamento de café nas portas, melhoria realizada no moinho 02, reaplicar para os outros
HIAGO: Infomado que Leandro está dando andamento desta atividade. Aprovado</t>
  </si>
  <si>
    <t>FB0112085</t>
  </si>
  <si>
    <t>Opção de vídeo no DMOS</t>
  </si>
  <si>
    <t>Opção de vídeo no próprio DMOS ao abrir etiquetas, em situações onde é necessário a movimentação para visualizar o problema/solução e etc.
RETORNO:
Atribuido ao Hiago que é o Key User do módulo de etiquetas na planta para que possa verificar o ajuste com o DMOS global.</t>
  </si>
  <si>
    <t>FB0112095</t>
  </si>
  <si>
    <t xml:space="preserve">Paleteira com balança </t>
  </si>
  <si>
    <t>Paleteira com balança, para ajudar na pesagem de bobinas da PKD.</t>
  </si>
  <si>
    <t>FB0112207</t>
  </si>
  <si>
    <t>Batente Fabrima 5</t>
  </si>
  <si>
    <t>Instalação de batente na fabrima 5 seguindo padrao do piloto feito na Fabrima 4</t>
  </si>
  <si>
    <t>FB0112228</t>
  </si>
  <si>
    <t xml:space="preserve">Manutenção autônoma Para Moagem </t>
  </si>
  <si>
    <t xml:space="preserve">Este quadro de ferramentas era destinado somente para associados da área do torrador, hoje não usa mais este armário devido cada operador do torrador tem seu kit de ferramentas individuais.
Como a área da Moagem não tem ferramentas específicas e úteis para exercer quaisquer atividades relacionadas a M.A faço uma solicitação para que completem as ferramentas faltantes deste armário é destinam ao pessoal da operação da Moagem, assim facilitando as atividades deles com qualquer ferramenta e sem depender de manutenção para que possam realizar qualquer melhoria.
Att:  Edvaldo Rener 
HIAGO: Aprovado. Ótima ideia. Pedro, favor providenciar a compra das ferramentas. 
PEDRO FERREIRA: Ideia aguardando aprovação do pedido de compras </t>
  </si>
  <si>
    <t>FB0112229</t>
  </si>
  <si>
    <t>Alongamento do cabo</t>
  </si>
  <si>
    <t>Aumentar o cabo de 1,70 para 1,90 obtendo-se melhor ergonomia e desempenho no trabalho.</t>
  </si>
  <si>
    <t>RICARDO BARBOSA</t>
  </si>
  <si>
    <t>FB0112369</t>
  </si>
  <si>
    <t xml:space="preserve">Bobina Raumak furada </t>
  </si>
  <si>
    <t xml:space="preserve">Ideia do Alexandre Assis: Solicitar ao fornecedor que a bobina da Raumak já venha com a furação, evitando que tenhamos problema com variação da vertical na Fabrima pois não precisaria mais do furador. Ele comentou que na empresa anterior que ele trabalhava era assim e não tinha problemas.
PEDRO FERREIRA: 
Analisei com o pessoal de vendas, me passaram o emial do fornecedor (Zaraplast), mas é necessário reunir todos os coordenadores de manufatura e qualidade, para discutir a viabilidade dessa ideia. Assim, caso haja aprovação, Michelle ou Alexandre (criadores da ideia), podem entrar em contato diretamente com o fornecedor e solicitar a mudança, mas enquanto isso, aguardo aprovação da ideia pelos responsáveis que são Michelle, Relton ou Moises. Na aba de comentário estará o email do forncedor. </t>
  </si>
  <si>
    <t>FB0112523</t>
  </si>
  <si>
    <t>Chapa metálica no robo da fabrima 5</t>
  </si>
  <si>
    <t xml:space="preserve">Colocar uma chapa para fechar um buraco localizado no final da esteira do robo da fabrima 5, esse local era onde localizado o botão de start, assim, ficou um buraco com os fios. Dessa forma, para questão estética e segurança, colocar uma chapa para tapar esse buraco. </t>
  </si>
  <si>
    <t>FB0112544</t>
  </si>
  <si>
    <t>melhoria de ma no CIL</t>
  </si>
  <si>
    <t xml:space="preserve">Separar os seguintes pontos de limpeza 
* Roletes do freio 
* Sensor da fotocélula 
* Parte da frente da fabrima 
* Lateral interna da fabrima 
* Chão abaixo do tobogã da fabrima </t>
  </si>
  <si>
    <t>FB0112560</t>
  </si>
  <si>
    <t>Balança</t>
  </si>
  <si>
    <t>Uma balança próximo as fabrimas para pesar as bobinas quando necessário, no momento a única balança que tem é a da PKD, onde os operador das fabrimas tem que dar a volta na PKD para pesar as bobinas.</t>
  </si>
  <si>
    <t>FB0112603</t>
  </si>
  <si>
    <t>bucha da vertical fabrima 5</t>
  </si>
  <si>
    <t xml:space="preserve">A bucha de bronze da vertical da fabrima 5 , está com folga , poderia ser feito uma substituição dessa peça de um outro material EX: celeron ou outro material mais resistente ). Pois este está com folga na vertical e não tem como fazer reaperto </t>
  </si>
  <si>
    <t>FB0112606</t>
  </si>
  <si>
    <t xml:space="preserve">fabrima 5 manômetro para o ar comprimido </t>
  </si>
  <si>
    <t xml:space="preserve">Implementar manômetro regulador da pressão do ar comprimido na fabrima 2 / 3 , foi implementado na fabrima 4-5 , esse regulador de ar , foi colocado para evitar uma pressão mais que o necessário nos eixos expansivos , assim evitando furar as borrachas do eixo .
ANA MARTINS: MELHORIA JÁ FOI REALIZADA NAS FABRIMAS 2 E 3 TAMBEM! </t>
  </si>
  <si>
    <t>FB0112626</t>
  </si>
  <si>
    <t xml:space="preserve">Arremessador </t>
  </si>
  <si>
    <t>Foi conversado com a manutenção, Sobre fazer a lubrificação mensal no arremessador, mas foi sugerido fazer na programação da preventiva, pois já ocorreu falha no arremessador na fábrica 02 sobre ele ficar travando e foi necessário fazer somente uma lubrificação e acompanhar e também mexer nos parâmetros do arremessador 
ANA MARTINS: ANDRE VAI VERIFICAR A INCERÇÃO NA PROGRAMAÇÃO DA PREVENTIVA</t>
  </si>
  <si>
    <t>FB0112888</t>
  </si>
  <si>
    <t>numerar  dos roletes fabrima 5</t>
  </si>
  <si>
    <t xml:space="preserve">Colocar numerações nos roletes das fabrimas , para evitar passagem do filme errado </t>
  </si>
  <si>
    <t>FB0113132</t>
  </si>
  <si>
    <t>mesa para fabrima 5</t>
  </si>
  <si>
    <t>A fabrima 5 não tem uma mesinha , onde os operadores realizam as análises e colocam os materiais de trabalho, acabando usando o acrílico de proteção da balança como mesa, poderia colocar uma mesa na linha 5
Relton: Foi alinhado com a Operadora para verificar com os outros operadores o melhor local para colocar a mesa, tendo em vista que a linha e muito apertada.</t>
  </si>
  <si>
    <t>FB0113374</t>
  </si>
  <si>
    <t>modo em Stand-by (câmera de torra sem café )</t>
  </si>
  <si>
    <t>Toada vês que torradores estiver e modo de Stand-by tem deixar a rosca intermitentes a 15% .
HIAGO: verifricar com Izabela, pois este tema está contemplado na IT criada recetemente</t>
  </si>
  <si>
    <t>FB0113375</t>
  </si>
  <si>
    <t xml:space="preserve">modo torradores torando os café na câmera de torra </t>
  </si>
  <si>
    <t>Toda vez que estiver torrando os café na câmera de torra tem que colocar a rosca intermitente  24% a  28 %.
HIAGO: Verificar com Izabela pois este tema está na IT criada recentemente.</t>
  </si>
  <si>
    <t>FB0113378</t>
  </si>
  <si>
    <t>temperatura do ar de entrada ( sem café)</t>
  </si>
  <si>
    <t>Deixa a temperatura do ar de entrada 180 graus celsius ( para evitar atraso de café na câmeras de torra)
HIAGO: Por manufatura está validado, necessário veriricar com Engenharia de Processos se é viável ou se acarreta em algum impacto.</t>
  </si>
  <si>
    <t>FB0113452</t>
  </si>
  <si>
    <t>Ideia de Melhoria Para limpeza das balanças.</t>
  </si>
  <si>
    <t xml:space="preserve">Uma vez por mês temos que realizar limpeza interna das balanças de café torrado, porém temos dificuldade para conseguir acesso seguro para realizar essas atividades. Atualmente temos que subir sobre a tubulação do cablevey conforme foto 3 ilustrada para conseguirmos realizar as atividades.
A ideia seria criarmos uma plataforma de grade conforme foto 1 e 2 para trabalharmos de forma segura e de boa Prática e eliminando os risco de obter quaisquer escorregamento sobre os Cablevey.
Obs: Essa criação dessa grade para acesso nosso time de manutenção ( Cleiton ) já realizou a verificação para criação e informou que consegue fazer sem ser preciso de pessoas terceirizados, pois temos os matérias para criação.
ANA MARTINS: Programar Cleiton para Executar.
HIAGO DANTAS:  Ideia aprovada, vai reduzir muito o risco de segurança da atividade. Importante validar com SHE a melhor forma de construção (Ex.; deve ter guarda corpo? dimensões?) após isso validar com Operadores para ter aprovação do projeto final
SHE: Aprovado. Podemos seguir com a idea. Entretanto como o Hiago citou temos alguns passos para serem seguidos. A plataforma deve atender a requisitos de norma tal como guarda corpo, degrau e piso da plataforma. Se seguirmos com projeto (CAPEX) deve ser aberto uma TAP. </t>
  </si>
  <si>
    <t>FB0113582</t>
  </si>
  <si>
    <t>Faixa de Pedestre</t>
  </si>
  <si>
    <t>Pintar faixa de pedestre entre os pontos seguros da logística. A ideia é orientar o fluxo de pessoas na área de movimentação de empilhadeira, considerando que de um ponto a outro não tem contenção nem direcionamento. Quando o pedestre entra na logística aumenta o risco de acidente por possibilitar o acesso entre os palets e fora do campo de visão do operador.</t>
  </si>
  <si>
    <t>FB0113584</t>
  </si>
  <si>
    <t>Sinalização de Ponto Seguro</t>
  </si>
  <si>
    <t xml:space="preserve">Criar na fábrica uma sinalização (placa e demarcação no chão) de onde devemos aguardar que seja um "Ponto Seguro". Inicialmente a ideia surgiu na Logística mas entendo que poderia ser também utilizado nos pontos do Torrador, Moinho, Empacotamento pois as vezes vamos falar com os operadores e não temos um ponto especifico para aguardar e ficamos em locais que tem risco ou impactam a operação.
</t>
  </si>
  <si>
    <t>FB0113693</t>
  </si>
  <si>
    <t>DDSHEQ</t>
  </si>
  <si>
    <t>Realizar a troca do dia da semana do DDSHQ que ocorre nas quintas feiras para sexta feira, para que as limpezas das peneiras possam se iniciar no início do turno.
----------------------------------
SHE: aprovado. Não há impacto negativa na mudança.
Pedro Ferreira: Ideia deve ser analisada pela Manufatura.</t>
  </si>
  <si>
    <t>FB0113704</t>
  </si>
  <si>
    <t xml:space="preserve">silo nao sendo utilidade podendo dar utilidade a ele </t>
  </si>
  <si>
    <t xml:space="preserve">Por o silo que era da máquina de grão ,para ser de reprocesso ,sendo que a desmontagem dele ficará mais caro do que fazer a ligação dele para os 8 silo de pó deixar destinado só para dosagem e não mas necessário fazer mudança de inversos deixar no lugar fixo se tornando este silos inutilizáveis o silo de sacrifício </t>
  </si>
  <si>
    <t>FB0113714</t>
  </si>
  <si>
    <t xml:space="preserve">Parâmetro de dosagem </t>
  </si>
  <si>
    <t>Retirada do parâmetro de dosagem do centerlining das fabrimas 2 e 3, pois todo café que está no silo é diferente, e esse parâmetro de dosagem é um parâmetro que depende muito do tipo do café, onde ele pode variar tanto pra menos quanto para mais.</t>
  </si>
  <si>
    <t>FB0113718</t>
  </si>
  <si>
    <t xml:space="preserve">melhora o preenchimento do quadro de ops1 da moagem </t>
  </si>
  <si>
    <t>Passado para os operadores da moagem fazer um preenchimento mais detalhado e onde só coloríamos começarmos a colocar o maior impacto 
Com a maior parada ex ( sc - fc - sp ) um desses três, assim o operador que chega vai saber o real motivo do quadro estar cheio ou vazio 
Se ele não conseguir pegar a ops1</t>
  </si>
  <si>
    <t>FB0113719</t>
  </si>
  <si>
    <t xml:space="preserve">aumenta o tempo de descanso do café em pó </t>
  </si>
  <si>
    <t>Rascunho</t>
  </si>
  <si>
    <t xml:space="preserve">Fazer alguns testes nos silos de pó da moagem para conseguirmos ganhar mais tempo neles, assim podemos deixar mais cafés descansados para as máquinas, evitando dar falta de café devido a moagem, com isso melhoraria a performance dos moinhos onde eles não precisam ficar parando com silos cheios e deixaria o torrador bem menos parado </t>
  </si>
  <si>
    <t>FB0113912</t>
  </si>
  <si>
    <t xml:space="preserve">Acrilico no quadro das Fabrimas </t>
  </si>
  <si>
    <t>Colocar um acrilico para poder colocar os formulários de Troca de Produto na linha, mais próximo da operação ajudando na rapidez da troca de produto.
RETORNO:
[LUZIA] estou comprando alguns acrílicos para a área de treinamentos e consigo ceder um para esta demanda também.
Sugestão: Bianca, não conseguimos colocar esse formulário no DMOS ou no FORMS para eliminar o papel?</t>
  </si>
  <si>
    <t>FB0113971</t>
  </si>
  <si>
    <t>Instalar uma televisão no MOS ACADEMY para treinamentos e reuniões</t>
  </si>
  <si>
    <t>Instalar uma televisão no MOS ACADEMY para treinamentos e reuniões (a que ficava lá é da manufatura, foi retirada e não voltará a ficar fixa no local).</t>
  </si>
  <si>
    <t>FB0114031</t>
  </si>
  <si>
    <t xml:space="preserve">balança perto das fabrimas </t>
  </si>
  <si>
    <t xml:space="preserve">Colocar a balança para uma posição que não dificulta tanto o time de fabrima usá-la , na correria do turno para refazer uma pesagem de bobina fica mais trabalhoso, poderia colocar perto do filtro d água da PKD , ou uma embaixo do distribuidores </t>
  </si>
  <si>
    <t>FB0114076</t>
  </si>
  <si>
    <t xml:space="preserve">Modificação formulário PKD </t>
  </si>
  <si>
    <t>Gostaria de sugerir que os campos de “Silo” e “Horário de Início/Fim do Silo” sejam adicionados novamente ao formulário da PKD, assim como já existe no formulário das Fabrimas.
Esses campos estavam presentes antes, mas foram retirados por serem considerados duplicados em relação ao Formulário de Tempo de Descanso. O problema é que, quando esse formulário não é preenchido corretamente, os assistentes precisam corrigir manualmente. Com o projeto Perdas Zero, também não conseguimos mais visualizar no MOP a parada de "Troca de Silo", e isso acaba sendo registrado com base em suposições.
Se for necessário fazer rastreabilidade e o operador errar o horário por 1 pallet, isso já representa 480 kg, o que faz muita diferença. Por isso, vejo esses campos não como uma duplicação, mas como uma confirmação importante, que ajuda a garantir a rastreabilidade.</t>
  </si>
  <si>
    <t>FB0114091</t>
  </si>
  <si>
    <t xml:space="preserve">Sensor de parada caixa box encaixotadora </t>
  </si>
  <si>
    <t xml:space="preserve">Realizar a colocação de chave seletora de liga e desliga no sensor de parada de caixa ,porque quando a falha na encaixotadora e ela para fora do ponto a necessidade de desligar o sensor manualmente para que a encaixotadora não execute manobra errada depois a necessidade de para para o religamento do sensor manualmente que é o acoplamento do cabo essa manobra é realizada afim de garantir que não aja avaria no equipamento mas resultando em tempo de parada de máquina maior.
Ideia essa discutida com os Manutentores Wallace e Arthur que se dispõe a realizar . Com material de almoxarifado 
Time Patrick Wesley Wallace e Arthur </t>
  </si>
  <si>
    <t>FB0114100</t>
  </si>
  <si>
    <t xml:space="preserve">dispositivo de fita para fazer emenda na troca de bobina </t>
  </si>
  <si>
    <t xml:space="preserve">Facilitar para o operador da linha na hora da troca da bobina,ao fazer emenda da bobina com a fita.
Fazer a emenda com mais facilidade e ganhando mais tempo na troca da bobina.
</t>
  </si>
  <si>
    <t>FB0114113</t>
  </si>
  <si>
    <t>vazamento de café nas peneiras</t>
  </si>
  <si>
    <t xml:space="preserve">São pequenos pontos de vazamento,que trás uma perda constante de café ,trazendo uma grande perda e prejuízo para nossa imprensa 
Hoje cada grão conta  ,mostrando a nossa preocupação e resolvendo este problema </t>
  </si>
  <si>
    <t>FB0114275</t>
  </si>
  <si>
    <t>Monitoramento de corrente dos inversores</t>
  </si>
  <si>
    <t>Instalação da placa de rede nos inversores de frequência relacionado aos sopradores, com isso iremos conseguir monitorar a corrente e a frequência, para fazer um diagnóstico mais especifico do porque ocorre o desarme dos sopradores com frequência.
Ideia vista junto ao Igor e o Rubens da ENG.</t>
  </si>
  <si>
    <t>08. SOPRADORES</t>
  </si>
  <si>
    <t>FB0114415</t>
  </si>
  <si>
    <t>Usar potes de louça ou de plástico laváveis para eliminar o plástico do pote usado para caldos.</t>
  </si>
  <si>
    <t>Usar potes de louça ou de plástico laváveis para eliminar o plástico do pote usado para caldos no almoço. A ideia eliminaria a geração desse resíduo.</t>
  </si>
  <si>
    <t>FB0114419</t>
  </si>
  <si>
    <t>Usar colheres de metal para substituir colheres usadas para bolo e sobremesa no almoço</t>
  </si>
  <si>
    <t xml:space="preserve">Usar colheres de metal para substituir colheres usadas para bolo e sobremesa no almoço  iria remover o resíduo gerado pelas colheres descartáveis usadas durante as alimentações.   </t>
  </si>
  <si>
    <t>Meio Ambiente</t>
  </si>
  <si>
    <t>Minha ideia seria continuar com a escada com guarda mão que já está na metade do caminho faltando só mai duas elevações chegando a parte superior dos silos com isto reduziria o tempo de suporte da manutenção  reduziria o tempo de parada entre descarga e abastecimento de silos de café cru</t>
  </si>
  <si>
    <t>FB0114581</t>
  </si>
  <si>
    <t xml:space="preserve">Melhoria no Esteirão. </t>
  </si>
  <si>
    <t xml:space="preserve">Instalar um Redler de corrente transportadora substituindo correia do esteirão de Cavaco, devido ao longo histórico de paradas no esteirão por embuchamento que vem ocorrendo desde sempre, o “Redler de corrente transportadora” possui pás que auxiliam na tração do transporte do cavaco evitando que acumulo em um ponto e obstrução do fluxo. </t>
  </si>
  <si>
    <t>02. SISTEMA DE CAVACO</t>
  </si>
  <si>
    <t>FB0114589</t>
  </si>
  <si>
    <t>PONTO DE AR COMPRIMIDO COM REGULAGEM DE PRESSÃO COM PISTOLA INTERNA NAS FABRIMAS</t>
  </si>
  <si>
    <t>PONTO DE AR COMPRIMIDO COM REGULAGEM DE PRESSÃO COM PISTOLA INTERNA PARA INFLAR O EIXO EXPANSIVO, DIMINUINDO O TEMPO E ELIMINANDO PROBLEMA DE DANIFICAR AS CÂMARAS DE AR DOS EIXOS</t>
  </si>
  <si>
    <t>Jader Costa</t>
  </si>
  <si>
    <t>FB0114727</t>
  </si>
  <si>
    <t xml:space="preserve">sinalização de saída </t>
  </si>
  <si>
    <t xml:space="preserve">Sinalização de saída de emergência concluído ‘ contener da manufatura estava sem placa de sinalização de saída . abri uma etiqueta para q possa ser sinalizado uma placa onde podemos verificar a saída correta do local . As sinalizações são legais pois nos mostra onde podemos entrar e sair do local sem dificuldades e com segurança em nosso primeiro lugar grato pelo atendimento correto </t>
  </si>
  <si>
    <t>FB0114818</t>
  </si>
  <si>
    <t xml:space="preserve">placa de identificação </t>
  </si>
  <si>
    <t xml:space="preserve">Criar placas de identificação para as bombas de vácuo da PKD 
Como segue exemplo 
Bomba vácuo  1 
Bomba vácuo 2 
Bomba vácuo 3 
Bomba vácuo. Backup
 Ideia discutida com Pedro Ferreira </t>
  </si>
  <si>
    <t>FB0114872</t>
  </si>
  <si>
    <t>Instalação de suspiro Nas balança cafe torrado</t>
  </si>
  <si>
    <t xml:space="preserve">
Descrição da Situação Atual:
Na planta, existem duas balanças utilizadas na blendagem de café. A balança ( Linha Modelo) possui um suspiro (filtro metálico de ventilação) que permite a troca de ar e alívio da pressão interna, mantendo um ambiente seco e estável.
A balança que será replicado, por outro lado, não possui suspiro, o que tem causado os seguintes problemas operacionais e de qualidade:
Formação de suor (condensação) no interior da balança;
Desenvolvimento de bolor, devido ao ambiente úmido e fechado;
Aumento de ponto de atenção nessa área, afetando sua qualidade e estabilidade;
Risco de desclassificação do produto por não atender aos padrões exigidos e entre outros.
Proposta de Melhoria:
Replicar nas balanças o mesmo modelo de suspiro utilizado na balança MODELO. O suspiro será instalado na parte lateral das balança, permitindo a ventilação e prevenindo acúmulo de vapor e umidade.
✅ Benefícios Esperados:
Eliminação de suor e bolor no interior da balança;
Preservação da qualidade do café, evitando aumento indesejado de umidade;
Redução de riscos sanitários e contaminação por fungos;
Estabilização do processo de pesagem entre as balanças;
Menor necessidade de retrabalho e descarte de produto.
Recursos Necessários:
Algumas unidade de suspiro metálico com tela de ventilação (modelo igual ao da balança foto 3);
Parafusos e junta de vedação;
Apoio da equipe de manutenção para instalação segura</t>
  </si>
  <si>
    <t>FB0114999</t>
  </si>
  <si>
    <t>colocar uma câmera na caçamba de película do torrador 2</t>
  </si>
  <si>
    <t>Na foto acima temos a possibilidade de acompanhar as caçambas do torrador 1e3 , o que nos auxilia muito afim de se evitar a obstrução das roscas inclinada e plana de película,a ideia é colocar uma câmera na caçamba do torrador 2 tbm pois em determinados momentos, como absenteísmo horário de refeições é comum estarmos somente com 1 dos operadores, evitando assim entupimento do ciclone torrador o que quando acontece gera grande impacto por parada
Se uma caçamba de película enche e o sensor não atuar gera acúmulo de película nas roscas plana e inclinada e em sequência o entupimento do ciclone de torra o qual gera grande impacto na produção,pois é necessário encerrar o torrador para resolver o problema 
------------------------
Pedro Ferreira: Precisamos definir o local exato.</t>
  </si>
  <si>
    <t>Eduardo Candido</t>
  </si>
  <si>
    <t>FB0115057</t>
  </si>
  <si>
    <t>Realizar melhoria na caixa de jogada de big bag</t>
  </si>
  <si>
    <t>Colocar uma chapa por dentro da porta para não jogar café fora (cada grão conta). 
MANUTENÇÃO: ESTÁ VAZANDO COM A PORTA FECHADA? VERIFICAR SE SIM ETIQUETA!</t>
  </si>
  <si>
    <t>FB0115058</t>
  </si>
  <si>
    <t>Plataforma para organização de 5S para lonas e big bags</t>
  </si>
  <si>
    <t xml:space="preserve">Fazer uma plataforma de chapa para colocar lonas e big bags (70 cmx70cm por 60 cm de largura) </t>
  </si>
  <si>
    <t>FB0115059</t>
  </si>
  <si>
    <t xml:space="preserve">Armário para guardar medidor de umidade de Cavaco </t>
  </si>
  <si>
    <t xml:space="preserve">Fazer um armário para guardar o medidor de umidade de cavaco fixado na parede, com intuito de facilitar a locomoção, auxiliando na ergonomia. Além disso, é importante retirá-lo da poeira para que não danifique o material. </t>
  </si>
  <si>
    <t>FB0115060</t>
  </si>
  <si>
    <t>Confeccionar ganchos para segurança da empilhadeira de jogada de cavaco</t>
  </si>
  <si>
    <t>Colocar 2 ganchos com duas correntes (1 em cada), com intuito de facilitar para o operador, visto que o operador para passar a corrente na torre da empilhadeira tem que fazer de forma manual, causando risco de prensar os dedos e gerar acidente. 
SHE: estamos com o plano de eliminar os ganchos da fábrica. A implementação do gancho não será possível. Estamos em negociação com o fornecedor que aluga as empilhadeiras de termos um dispositivo que vai girar a lança em 360°. Ideia não aprovada.</t>
  </si>
  <si>
    <t>FB0115440</t>
  </si>
  <si>
    <t>Adicionar o subcódigo de "Bailarina" nas Fabrimas</t>
  </si>
  <si>
    <t xml:space="preserve">Ideia da Ângela: Incluir o apontamento da bailarina na lista de códigos
Relton: Realizado! </t>
  </si>
  <si>
    <t>FB0115519</t>
  </si>
  <si>
    <t xml:space="preserve">ter uma balança fixa no empacotamento </t>
  </si>
  <si>
    <t xml:space="preserve">Para melhor manejo com resto de bobinas ou bobinas com defeito, para também pesar os rejeitos( CGC), rejeito orgânico e embalagens.
-------------------------------------------
</t>
  </si>
  <si>
    <t>FB0115629</t>
  </si>
  <si>
    <t xml:space="preserve">substituição da corda de despejar cavaco para uma cinta </t>
  </si>
  <si>
    <t>Precisamos substituir a corda utilizada para despejar o cavaco por uma cinta de catraca automática, pois assim evitaremos que a corda se solte por completo danificando a corda e a empilhadeira. Para essa substituição iremos precisar de uma cinta de carga de catraca automática e instalação de 2 suportes nesses locais demarcados
SHE: reprovado. Estamos desenvolvendo outro mecanismo para esta atividade.</t>
  </si>
  <si>
    <t>Os tambores de rejeitos são bem pesados, se tivesse algum item que pudesse ajudar a virar dentro da caçamba colaboraria com os funcionários.</t>
  </si>
  <si>
    <t>FB0115773</t>
  </si>
  <si>
    <t xml:space="preserve">ponto de tomada </t>
  </si>
  <si>
    <t>Ponto de tomada para a limpeza dos moinhos durante a preventiva, pois hoje precisa usar extensão, ponto de tomada fica longe e ponto de energia do moinho fica bloqueado no lototo</t>
  </si>
  <si>
    <t>FB0115840</t>
  </si>
  <si>
    <t xml:space="preserve">Cilindro pneumatico da Raumak </t>
  </si>
  <si>
    <t xml:space="preserve">O componente pneumatico possui um cabo é um sensor que é ligado no mordente horizontal da Raumak que conforme ele acende ou apaga os mordente horizontal faz o movimento de abrir é fechar, Devido de ter paradas não planejadas é prejudiciar o mtbf e o GE,Minha sugestão é que se possível colocar no CL o posicionamento do sensor para que ao operador conferir no CL é olhar saber se está de acordo com a marcação que devia para ter uma performance perfeita do componente, Se não estiver certo o operador da linha irá saber devido ao CL é terá como evitar que a máquina tenha muitas paradas nao planejadas é será questáo de segundos para saber resolver, Eu Irwin tambem fazer uma Lup para que o proprio operador saiba resolver é como mexer.
Relton: Ideia será realizada assim que possível </t>
  </si>
  <si>
    <t>FB0115852</t>
  </si>
  <si>
    <t xml:space="preserve">colocar escada na do CIL </t>
  </si>
  <si>
    <t xml:space="preserve">Acrescentar no relatórios do CIL verificação da escada todo início dos turno </t>
  </si>
  <si>
    <t>FB0115902</t>
  </si>
  <si>
    <t xml:space="preserve">janelas abertas </t>
  </si>
  <si>
    <t>Janelas abertas , tempo de chuva molha o piso e até mesmo o café que se refere no estoque…</t>
  </si>
  <si>
    <t>FB0115989</t>
  </si>
  <si>
    <t>Proteção mecânica e/ou sinalização vertical da mesoestrutura</t>
  </si>
  <si>
    <t>Fixação de borracha EVA, nas cores preta / amarela, no formato cantoneira, nas quinas da mesoestrutura (pilares centrais e perimetrais) do galpão (café cru), afim de oferecer proteção mecânica e/ou sinalização vertical contra eventuais imperícias na operação da empilhadeira, minimizando e/ou evitando, portanto, sinistros no equipamento e/ou concreto armado.
SHE: aprovado.
Jhonnathan Rufini: Qualidade aprovou, contanto que seja monitorado a integridade da borracha.</t>
  </si>
  <si>
    <t>Felipe Cuzzuol</t>
  </si>
  <si>
    <t>FB0116120</t>
  </si>
  <si>
    <t>ideia de melhoria no torrador 2</t>
  </si>
  <si>
    <t xml:space="preserve"> A ideia e implementar uma porta de acesso para inspeção e limpeza após lavagem das câmaras de torra,no torrador 2 do mesmo modo que já existe no torrador 1
Pedro Ferreira: Ideia aprovada pela Engenharia, foi discutida que é possível que a manutenção execute, visto que o Lucas Carvalho que realizou na linha modelo.</t>
  </si>
  <si>
    <t>FB0116136</t>
  </si>
  <si>
    <t xml:space="preserve">troca a fechadura da porta na sala da moagem </t>
  </si>
  <si>
    <t xml:space="preserve">A ideia é armazenar os material da moagem tudo nesse armário todo tipo de chave e utensílios 
Arrumar uma chave para cada op ter o controle do utensílio e ferramentas, tendo uma chave reserva no adm da produção 
Nele podemos deixar até as chaves que tem no armário da moagem, colocarmos uns tapetes para moldarmos onde vai ficar cada chave 
E os utensílios </t>
  </si>
  <si>
    <t>FB0116175</t>
  </si>
  <si>
    <t xml:space="preserve">Alteração CIL SEMANAL </t>
  </si>
  <si>
    <t>Alteração na limpeza dos ciclones,não consegui utilizar o varre mesa por alta temperatura,avaliar uso de ar comprimido 
Limpeza dos despredador não utiliza pano úmido 
Carrinho inox,avaliar a limpeza para o CIL MENSAL,realizando uma limpeza detalhada interna e externa 
Avaliar limpeza do mezanino,se possível conseguir um aspirador de pó menor pra facilitar o acesso do mesmo
Alterar a descrição da limpeza dos coletores de rejeito dos Cablevey 
Aspirador de pó,temos apenas aspirador de água,alterar descrição 
Retirar espátula da descrição dos itens do supervisorio 
Item da LUP 07-13312 não existe descrição do item!</t>
  </si>
  <si>
    <t>FB0116176</t>
  </si>
  <si>
    <t xml:space="preserve">QUADRO Ferramentas TORRADORES </t>
  </si>
  <si>
    <t xml:space="preserve">Reformular o quadro de ferramentas,operação adquiriu ferramentas,deixar no quadro apenas itens que a operação não possui 
Pedro Ferreira: Lucas, estamos com uma ideia em aberto para que esse quadro seja destinado somente a Moagem, visto que os operadores dos torradores, já tem as maletas de ferramentas, assim, será realizado uma reformulação nele com as ferramentas que a moagem precisa. </t>
  </si>
  <si>
    <t>FB0116709</t>
  </si>
  <si>
    <t>Aparelho (NÍVEL DE BOLHA) auxiliar na operação da empilhadeira</t>
  </si>
  <si>
    <t xml:space="preserve">Fixar nível de bolha na coluna ou grade da torre da empilhadeira, ao alcance da visão do operador, sem comprometimento mecânico, exclusivamente afim de otimizar a sua operação, com segurança e precisão, agilizando atividades diárias onde precisamos que a coluna do equipamento esteja perfeitamente alinhada, formando um ângulo de 90 graus com o plano do chão </t>
  </si>
  <si>
    <t>FB0116741</t>
  </si>
  <si>
    <t xml:space="preserve">implantar uma câmera na caçamba de película do torrador 2 </t>
  </si>
  <si>
    <t xml:space="preserve">Nós torradores 1 e3 já existem câmeras que possibilitam o acesso as caçambas faltando apenas no torrador 2.
Se uma caçamba de película enche e o sensor não atuar gera acúmulo de película nas roscas plana e inclinada e em sequência o entupimento do ciclone de torra o qual gera grande impacto na produção,pois é necessário encerrar o torrador para resolver o problema </t>
  </si>
  <si>
    <t xml:space="preserve">na PKD não tem um acessório específico para apertar  as aparas .esta sendo usado utensílios de limpeza na área para essa finalidade , poderia alinhar com a manutenção para fazer uma chapa arredondada de aço , com um cabo , para ser usada nas aparas .
SHE: reprovado. Improvisação de ferramentas. Não há resgistro fotografico da ideia.
Pedro Ferreira: É necessário verificar qual a ferramenta ideal para essa ação. Porém, precisamos de mais informação. </t>
  </si>
  <si>
    <t>FB0117028</t>
  </si>
  <si>
    <t>Estação de Limpeza para área das fornalhas</t>
  </si>
  <si>
    <t>Sugestão de criação de uma estação de limpeza idem a das fabrimas para a área da fornalha, para melhor controle e monitoramento dos utensílios de limpeza da área, com suporte para Vassouras, Varre mesa, pá e enxada de limpeza interna das fornalhas.</t>
  </si>
  <si>
    <t>FB0117052</t>
  </si>
  <si>
    <t xml:space="preserve">Elevador de pequeno porte </t>
  </si>
  <si>
    <t xml:space="preserve">A ideia é colocar um elevador pequeno pra ajudar a subir coisas pesadas até o alto dos silos nos dias de limpeza — tipo aspirador, caixa de ferramenta e os sacos cheios de café que saem das limpezas das peneiras.
Pedro Ferreira: Ao ponto de vista de qualidade, é possível executar e não vejo risco para a segurança de alimentos, porém, é necessário garantir a limpeza do elevador.
Pedro Ferreira: Ideia será CANCELADA, devido alto custo do elevador. Porém, em caso de utensílios de limpeza, como vassoura, pá e varre mesa, foi realizado um melhoria de 5S na área dos moinhos. </t>
  </si>
  <si>
    <t>Rosemere Santana</t>
  </si>
  <si>
    <t>FB0117060</t>
  </si>
  <si>
    <t xml:space="preserve">Retirada fio de energia do chão </t>
  </si>
  <si>
    <t>Fio de energia no chão precisa ser retirado.Risco dos associados ao estar fazendo revisão dos  paletes de vácuo risco de tropeçar .Obs: para a eliminação de risco seria passagem aérea da fiação conforme foto e desenho anexado.
ANA MARTINS: WALLACE VAI ANALISAR UMA FORMA DE TIRAR O FIO DO CHÃO</t>
  </si>
  <si>
    <t>FB0117178</t>
  </si>
  <si>
    <t xml:space="preserve">parâmetros fora do Centerlining </t>
  </si>
  <si>
    <t xml:space="preserve">Devido de ter trocado os níquel cromo horizontal e vertical para uma expressura maior, sugiro que pudesse alterar os parâmetros de temperatura da Raumak e futuramente terá que alte as das outras </t>
  </si>
  <si>
    <t>FB0117228</t>
  </si>
  <si>
    <t>Proposta de Implantação de Área de Lazer para os Associados</t>
  </si>
  <si>
    <t>Sugere-se a criação de um espaço de lazer voltado à descontração dos colaboradores, com a instalação de uma mesa de concreto para prática de tênis de mesa na área externa. O objetivo é proporcionar momentos de relaxamento durante os intervalos de almoço e café, contribuindo para o bem-estar e a integração da equipe.
A localização proposta para essa estrutura é o espaço externo com piso de brita, situado nas proximidades do Galpão 3 e da área de resíduos, aproveitando uma área atualmente ociosa e de fácil acesso.</t>
  </si>
  <si>
    <t>FB0117250</t>
  </si>
  <si>
    <t xml:space="preserve">Expulsador de pacotes </t>
  </si>
  <si>
    <t xml:space="preserve">O expulsador de pacotes da balança dinâmica da Fabrima 02 não está fixado!
Sugiro que fixe o objeto, tem momentos que quando vai fazer o cil objeto está mal posicionado 
ANA MARTINS: ALEXANDRE ASSIS verificou com a operadora, a ideia e fixar a balança no chão no piso, sendo necessário quebrar o piso e fixa - la no chão, sendo assim se torna uma ideia para a Engenharia analisar! </t>
  </si>
  <si>
    <t>FB0117253</t>
  </si>
  <si>
    <t xml:space="preserve">Fardos fica garrando na esteira </t>
  </si>
  <si>
    <t xml:space="preserve">Fardos fica garrando na esteira e ao retirar fica difícil e tem que parar a máquina e ocasionar falhas não planejadas 
Manutenção: favor verificar para abaixar a esteira </t>
  </si>
  <si>
    <t>cancelada</t>
  </si>
  <si>
    <t>FB0117448</t>
  </si>
  <si>
    <t>Reconhecimento por tempo de empresa</t>
  </si>
  <si>
    <t xml:space="preserve">Reconhecer os funcionários por tempo de empresa, exemplo 1 ano, 3 anos, 5 anos e 10 anos </t>
  </si>
  <si>
    <t>FB0117449</t>
  </si>
  <si>
    <t>Compilado de produção Mensal</t>
  </si>
  <si>
    <t xml:space="preserve">Enviar no grupo da Fábrica todo final de mês reconhecendo o turno que mais produziu e reconhecer com um coffee especial, janta, entre outros. </t>
  </si>
  <si>
    <t>FB0117649</t>
  </si>
  <si>
    <t xml:space="preserve">Área de revisão escura </t>
  </si>
  <si>
    <t>Colocar um ou dois refletores na área de revisão de paletes 
----------------------------------------
Pedro Ferreira: Ideia aprovada pela Manutenção.
Analisar se temos ponto de energia para instalar um refletor no local. (Eliézer)</t>
  </si>
  <si>
    <t>FB0117768</t>
  </si>
  <si>
    <t>Adocão de equipamento para combate incêndio em superfícies com poeira</t>
  </si>
  <si>
    <t>Aquisição de equipamento de pulverização de água para uso no combate a brasas em superfícies com poeira fina. 
SHE: aprovado</t>
  </si>
  <si>
    <t>FB0117769</t>
  </si>
  <si>
    <t>Novo container para resíduos perigosos</t>
  </si>
  <si>
    <t>Aquisição de novo container de 1000 litros para armazenamento temporário de resíduos perigosos, devido à insuficiência do recipiente anterior, que rapidamente atingia sua capacidade máxima. Como consequência, os resíduos acabavam sendo armazenados diretamente no chão, comprometendo a segurança e a conformidade ambiental.</t>
  </si>
  <si>
    <t>FB0117770</t>
  </si>
  <si>
    <t xml:space="preserve">Instalação de placas de identificação </t>
  </si>
  <si>
    <t>Instalação de placas de identificação em cada uma das chaminés/dumpers dos torradores localizados no telhado, visando facilitar a identificação durante inspeções e coletas de análises atmosféricas. Sugestão: uso de placas metálicas com escrita em em relevo, com letras de tamanho ampliado, a fim de garantir a legibilidade mesmo em condições de acúmulo de sujeira.
SHE: Aprovado.</t>
  </si>
  <si>
    <t xml:space="preserve">09.2. ÁREA DE RESÍDUOS </t>
  </si>
  <si>
    <t>FB0117771</t>
  </si>
  <si>
    <t xml:space="preserve">mudança do fio da seladora de borracheiro </t>
  </si>
  <si>
    <t xml:space="preserve">O fio da seladora está solto no chão causando alguns tropeços qdo é feito o borracheiro .. a ideia era fazer uma adaptação de modo que o fio passe por cima da seladora </t>
  </si>
  <si>
    <t>FB0117874</t>
  </si>
  <si>
    <t>suporte para equipamentos café cru</t>
  </si>
  <si>
    <t>Suporte para equipamentos para café cru(vassoura,rodo,bastão), para melhorar organização da área.</t>
  </si>
  <si>
    <t>FB0118284</t>
  </si>
  <si>
    <t>estação de carregamento de iPad na linha</t>
  </si>
  <si>
    <t xml:space="preserve">Criar ponto para carregar os iPads nas linhas de empacotamento.
</t>
  </si>
  <si>
    <t>FB0118295</t>
  </si>
  <si>
    <t xml:space="preserve">os pontos de centerling acima não  constam no sistema Dmoss </t>
  </si>
  <si>
    <t xml:space="preserve"> Adicionar no CL ,esses  pontos não constam no sistema Controlador de fluxo cablevey 2.3 e 2.4 ,
Fotos acima </t>
  </si>
  <si>
    <t>FB0118445</t>
  </si>
  <si>
    <t>Automatização</t>
  </si>
  <si>
    <t>Automatização das esteiras para o robô, necessário colocar sensores de presença para que encaixotadora não mande caixas.
ANA MARTINS: FOI VERIFICADO COM A MANUTENÇÃO SERÁ FEITO UMA AVALIAÇÃO PARA POSSIVEL IMPLEMENTAÇÃO.</t>
  </si>
  <si>
    <t>FB0118547</t>
  </si>
  <si>
    <t>Pintura com métrica</t>
  </si>
  <si>
    <t xml:space="preserve">Realizar uma pintura no chão, próximo ao portão de entrada da guarita, para que as meninas consigam identificar com facilidade a medida das carretas. Precisamos identificar se elas são menores que 12,5m ou maior que 13,5m. Time de almoxarifado fica disponível para auxiliar o pintor, em qual a melhor forma para ser feito essa pintura. </t>
  </si>
  <si>
    <t>09.4 ÁREA EXTERNA</t>
  </si>
  <si>
    <t>FB0118548</t>
  </si>
  <si>
    <t>CAIXINHA PARA TOUCAS</t>
  </si>
  <si>
    <t xml:space="preserve">Instalar uma caixinha porta toucas, próximo a porta de acesso ao almoxarifado, o time de qualidade exigiu que só podemos acessar a área utilizando touca. </t>
  </si>
  <si>
    <t>09.6 BARREIRA SANITÁRIA</t>
  </si>
  <si>
    <t>FB0118549</t>
  </si>
  <si>
    <t>MOLHOS DE SALADA</t>
  </si>
  <si>
    <t xml:space="preserve">Se possível, incluir molhos para salada ou limão já cortado, para que possamos temperar as saladas. </t>
  </si>
  <si>
    <t>FB0118568</t>
  </si>
  <si>
    <t>Bandeja da Raumak 2</t>
  </si>
  <si>
    <t>A bandeja de contenção da Raumak 2 ao trocar a bobina da Raumak ela acaba atrapalhando um pouco por ser grande é ao tentar manusear o carrinho da bobina atrapalha um pouco, sugiro que cortasse e facilitaria ao manusear o carrinho na troca de bobina 
-----------------------------------
Pedro Ferreira: Ideia será avaliada com a Manutenção, se é possível que eles realizem essa ideia. 
Pedro Ferreira (09/10): Orçar com o Paulinho</t>
  </si>
  <si>
    <t>FB0118744</t>
  </si>
  <si>
    <t>ARMÁRIO PARA ARMAZENAR MATERIAIS DE TREINAMENTO</t>
  </si>
  <si>
    <t>Precisamos de um local/armário específico para armazenar os materiais de treinamento, que vão sendo elaborados e podem ser reutilizados em outros momentos. 
Sugestão: talvez utilizar o armário que fica na sala Piumhi, se não estiver ocupado com outra coisa. 
RETORNO 1 23/09/2025: ótima sugestão Aline, de fato precisamos. O armário da sala piumhi é uma alternativa, vou verificar se está ocupado, ou os armários do MOS Academy caso não seja possível, tão logo quanto tivermos verbas, podemos ver outras opções.</t>
  </si>
  <si>
    <t>FB0119776</t>
  </si>
  <si>
    <t xml:space="preserve">AQUISIÇÃO DE ESCADA </t>
  </si>
  <si>
    <t xml:space="preserve">Desenvolver uma escada tipo de piscina, para que os meninos do café verde, possam entrar e sair da carreta com mais facilidade.
Uma escada que seja fácil de encaixar e desencaixar da tampa da carreta. 
Pedro Ferreira: Essa ideia já foi discutida, porém, o orçamento dessa escada é muito alto, considerando que seria um teste, segundo SHE. Dessa forma, a ideia será cancelada por duplicação, mas é uma excelente ideia, vamos buscar a melhor solução, qualquer dúvida, podemos discutir com time de SHE sobre. </t>
  </si>
  <si>
    <t>Colocar um sensores para q possa abrir as correias automaticamente ao abriras portas  igual a da fabrima 2
ANA MARTINS: FOI A VALIADO PELA MANUTENÇÃO, SERÁ FEITO UMA VERIFICAÇÃO SE É POSSIVEL ESSA IMPLEMENTAÇÃO!</t>
  </si>
  <si>
    <t>FB0119872</t>
  </si>
  <si>
    <t xml:space="preserve">Armário para a guarda das malas de Ferramentas </t>
  </si>
  <si>
    <t xml:space="preserve">Utilizar a mesa que fica a lavadora ultrassônica para criar um armário para a guarda das malas de ferramentas dos operadores  com a da imagem,
Realizar a colocação de chapas nas laterais e três divisões internas sendo uma para cada turno e portas na frente com suporte de cadeado para tranca das mesma
------------------------------------------
Pedro Ferreira: Ideia deve passar pela manufatura para decidir se podemos realizar a adaptação do armário na mesa, ou compramos outro armário, se for assim, deve definir o local do mesmo. 
Pedro Ferreira: Aguardando escolha do armário, para que posteriormente, o orçamento seja solicitado. </t>
  </si>
  <si>
    <t>FB0119931</t>
  </si>
  <si>
    <t>Adicionar o ponto "Aquario" no CIL da PKD</t>
  </si>
  <si>
    <t xml:space="preserve">Adicionar o ponto do aquário do borracheiro no CIL da PKD para realizar limpezas frequentes, visto que muitas vezes o mesmo passa vários dias sujo. 
(IDEIA JÁ REALIZADA)!!! </t>
  </si>
  <si>
    <t>FB0119993</t>
  </si>
  <si>
    <t>caixinha de musica</t>
  </si>
  <si>
    <t xml:space="preserve">Instalar  Caixas de som com celular, e Bluetooth nas linhas de fabrima.        Pontos que poderiam ser instaladas as caixinhas que a acredito não gerar impacto é nem contaminação do produto. ( podendo colocar como ponto de inspeção no nosso CIL diario como ponto de qualidade)   (OBS: ideia em conjunto Raniele ,Alex , Rafael )
09/09: Solicitado aprovação das demais áreas
</t>
  </si>
  <si>
    <t>FB0120217</t>
  </si>
  <si>
    <t xml:space="preserve">rádio de comunicação </t>
  </si>
  <si>
    <t xml:space="preserve">Colocar fixo nas linhas rádio de comunicação com os carregadores para chamar a manutenção, como foi implementado os tablets, que facilitou a demanda das linhas.
Poderia ficar um rádio para as linhas 4 e 5, um para a 2 e 3 e um na PKD.
25/09: inicialmente estamos verificando para deixar um rádio na PKD e um na Fab 4 e 5 </t>
  </si>
  <si>
    <t>FB0120305</t>
  </si>
  <si>
    <t>Escada na area externa da logística</t>
  </si>
  <si>
    <t>Instalar uma escada na área destinada aos caminhões para permitir o acesso seguro dos pedestres, ajustando o trajeto de circulação para eliminar riscos de atropelamento.</t>
  </si>
  <si>
    <t>01. DOCAS</t>
  </si>
  <si>
    <t>FB0120332</t>
  </si>
  <si>
    <t>Troca de nylon do eixo da bobina da PKD</t>
  </si>
  <si>
    <t xml:space="preserve">Nos últimos dias, foi verificado que um dos eixo (antigo), não estava encaixando corretamente no sistema de freio, assim, foi possível observar que o nylon do mesmo estava desgastado em relação ao eixo novo, dessa forma, a troca do nylon pode auxiliar nessa questão. Além disso, realizar um filete na ponta da peça, também seria algo que poderia ajudar. </t>
  </si>
  <si>
    <t>FB0120790</t>
  </si>
  <si>
    <t xml:space="preserve">Teto PKD Roda De Espigões/Mandris </t>
  </si>
  <si>
    <t>Realizar a troca dos acrílicos do teto da roda de espigões por grelhas com exemplo a foto da roda de vácuo.
Ideia discutida com o Manutentor Alexandre Oliveira e tivemos aprovação do mesmo.
Foi também discutida com o Time de Qualidade Ruth e Angelina e tivemos a aprovação com seguintes a apresentação do material a ser utilizado com espessura e diâmetro da grelha afim de evitar a entrada de insetos e aí mesmo cair objetos em possíveis manutenção.
OBS detalhes da ideia e a utilização de grelha metálica  com dimensões pequenas caso não tenha vai ser utilizado uma grelha convencional com tela de mosquiteiro de alumínio para diminuir o tamanho dos furos da grelha .
OBJETIVO DA IDEIA E GARANTIR MAIOR REFRIGERAÇÃO DA RODA DE MANDRIS PARA EVITAR PROBLEMAS DE SUPRE AQUECIMENTO DOS MANDRIS E A NÃO SAÍDA DA EMBALAGEM DOS MESMOS OCORRENDO PARA DE MÁQUINA 
Pessoal, sobre esta ideia, mesmo com as áreas que foram aprovados tem o projeto PIX que tivemos investimento para funcionamento de ar condicionado, se trabalharmos com grades, temos que desablitar os ar condicionados pois eles não farão mais a função de refrigerar visto que ficaremos com a área aberta de ventilação. (Eliézer)
Manufatura: pessoal, esta ideia ainda se mantém com a instalação do ar que foi recolocado na roda de mandril ?
Entendo também assim com o Eliezer de que não tem como executar esta ideia com o ar condicionado lá na roda de mandril, temos que optar por um dos dois.
Responsáveis:Patrick Pessoa.  Alexandre</t>
  </si>
  <si>
    <t>FB0120971</t>
  </si>
  <si>
    <t>Substituir os parafusos de fixação allen por parafuso borboleta PKD</t>
  </si>
  <si>
    <t>Substituir os parafusos de fixação Allen por parafuso borboleta pois quando e necessário ajusta a fotocélula tem que retirar esses parafuso ajustar e colocar novamente
Colocando os parafusos borboleta facilita essa retirada pois não ira precisar de chave.</t>
  </si>
  <si>
    <t>FB0120974</t>
  </si>
  <si>
    <t>Colocar um vacuômetro na saída das bombas de Vacuo de palhetas PKD</t>
  </si>
  <si>
    <t xml:space="preserve">Colocar um vacuômetro na saída das bombas de Vácuo de palhetas da PKD para podermos visualizar qual o vácuo gerado pela bomba
Arthur participou da ideia  
-----------------------------
Pedro Ferreira: Analisar com Arthur se é possível a realização da ideia, para isso, Leandro deve programar um tempo, para que o Arthur vá até la. Tentar fazer semelhante ao da correia de arraste. </t>
  </si>
  <si>
    <t>FB0121030</t>
  </si>
  <si>
    <t>Alteração no CIL da PKD (ideia já executada)</t>
  </si>
  <si>
    <t xml:space="preserve">Ao inves das LUP de CIL da PKD colocar a IT - Para os pontos Q's de peças críticas </t>
  </si>
  <si>
    <t>FB0121056</t>
  </si>
  <si>
    <t xml:space="preserve">Mudança no CIL Mensal dos torradores (Ideia já realizada) </t>
  </si>
  <si>
    <t xml:space="preserve">Colocar nome no item da LUP 07-13.312 (peças criticas) </t>
  </si>
  <si>
    <t>FB0121151</t>
  </si>
  <si>
    <t xml:space="preserve">Inspeção no torrador 3 após Modo de emergência </t>
  </si>
  <si>
    <t xml:space="preserve">Realizar inspeção no torrador 3 na parte do esfriador do peneirão após ativação Modo de segurança.
A ideia é toda vez que estabilizar o torrador 3, realizar inspeção no esfriador, pois há vários registro que algumas ocorrências geram fagulha nessa área, pois dentro do esfriador contém películas armazenadas pelo processo de resfriamento do café e com contato de brasas geram registro de princípio de incêndio. E para não gerar essas ocorrências a ideia é toda vez que finalizar Modo de segurança realizar uma inspeção antes de qualquer partida.
SHE: aprovado. </t>
  </si>
  <si>
    <t>FB0121407</t>
  </si>
  <si>
    <t xml:space="preserve">instalação de caixa para carregador </t>
  </si>
  <si>
    <t xml:space="preserve">instalação de caixa para o carregador das tablets que os operadores na área da moagem e dos torradores utiliza diariamente </t>
  </si>
  <si>
    <t>FB0121420</t>
  </si>
  <si>
    <t xml:space="preserve">Atualização do Documento PLA-03-118-Faixa de umidade torradores </t>
  </si>
  <si>
    <t>O documento PLA-03-118, que define as faixas de umidade para o controle de qualidade, está desatualizado. As faixas utilizadas atualmente foram alteradas, mas o documento ainda não foi revisado.
Sugestão:
Atualizar o documento com as faixas de umidade vigentes, garantindo alinhamento entre prática e documentação.
Benefícios:
Evita não conformidades;
Facilita o trabalho das equipes;
Garante a padronização e confiabilidade dos processos.</t>
  </si>
  <si>
    <t>FB0121423</t>
  </si>
  <si>
    <t>Incluir Limpeza na parte superior do tanque água torrador 01</t>
  </si>
  <si>
    <t xml:space="preserve">Na parte superior do tanque de água do torrador 01 não existe mapeamento no CIL para realizar limpezas seja diária, semanal ou mensal.
A ideia é incluir nas rotinas mensais do CIL por ser devido trabalho em altura </t>
  </si>
  <si>
    <t>FB0121542</t>
  </si>
  <si>
    <t>MUDAR BALANÇA DE LOCAL</t>
  </si>
  <si>
    <t xml:space="preserve">Retirar a balança que fica no café verde e colocar no cavaco, ela é usada para pesar as peneiras de análise daas cargas de cavaco, raramente é utilizada pelo time de café verde. </t>
  </si>
  <si>
    <t>FB0121543</t>
  </si>
  <si>
    <t>INSTALAR GANCHOS PARA CABOS BRASMO</t>
  </si>
  <si>
    <t>Instalar ganchos para pendurar os cabos da Brasmo e ficar mais organizado e acessível o estoque .
-----------------------
Pedro Ferreira: Aline, preciso de mais informações, do tipo de gancho e local, se puder adicionar fotos, iria ajudar.</t>
  </si>
  <si>
    <t>FB0121596</t>
  </si>
  <si>
    <t xml:space="preserve">Colocar os utensilios Varremesa e aspirador de Pó na atividade de Ejetor de pacotes defeituosos </t>
  </si>
  <si>
    <t>FB0121598</t>
  </si>
  <si>
    <t xml:space="preserve">Colocar o item "Dosadores" no CIL da PKD. </t>
  </si>
  <si>
    <t>FB0121599</t>
  </si>
  <si>
    <t xml:space="preserve">Adicionar o ponto "Calha dos dosadores" no CIL da PKD </t>
  </si>
  <si>
    <t>FB0121600</t>
  </si>
  <si>
    <t xml:space="preserve">Adicionar o Item "Chão no fim dos receptáculos" </t>
  </si>
  <si>
    <t>FB0121601</t>
  </si>
  <si>
    <t xml:space="preserve">Adicionar o ponto "Chão no fim dos receptáculos" no CIL </t>
  </si>
  <si>
    <t>FB0121602</t>
  </si>
  <si>
    <t xml:space="preserve">Adicionar o ponto "Caixa coletora de café 1,2,3 e 4" no CIL </t>
  </si>
  <si>
    <t>FB0121603</t>
  </si>
  <si>
    <t xml:space="preserve">Alterar o nome da atividade de "Sujidade de embalagem" para "Mesa da roda de vácuo" </t>
  </si>
  <si>
    <t>FB0121604</t>
  </si>
  <si>
    <t xml:space="preserve">Alterar a frequencia de limpeza do item "Guia entre mandril e canecas de transferencia" para todo inicio de turno </t>
  </si>
  <si>
    <t>FB0121605</t>
  </si>
  <si>
    <t>Alterar a frequencia de "Canecas de transferencia (mandril)" para todo inicio de turno</t>
  </si>
  <si>
    <t>FB0121606</t>
  </si>
  <si>
    <t xml:space="preserve">Alterar a frequencia do item "Guias de recebimento do pacote vindo da caneca para o receptáculo" para todo turno </t>
  </si>
  <si>
    <t>FB0121618</t>
  </si>
  <si>
    <t>Alteração no CIL das Fabrimas (ideia já executada)</t>
  </si>
  <si>
    <t xml:space="preserve">Alterar a frequencia da limpeza do chão do robo no CIL diário </t>
  </si>
  <si>
    <t>FB0122168</t>
  </si>
  <si>
    <t xml:space="preserve">Replicar melhoria realizada no sensor do torrador 1 no torrador 2. </t>
  </si>
  <si>
    <t xml:space="preserve">No torrador 2 ainda estamos com a condição antiga onde o sensor aciona pelo vapor e precisamos removê-lo para conseguir seguir com as torras sem o bloqueio gerado pelo alarme, é um ponto de atenção pois as falhas que podem vir a acontecer por remover o sensor é um entupimento do ciclone caso não trocarmos a caçamba na hora certa, como fazemos esse procedimento de remover o sensor praticamente todos os dias as chances de vir a ocorrer um entupimento é maior. A ideia seria replicar no T2 a melhoria feita no T1 onde instalaram um sensor que não lê o vapor mas consegue ler com precisão a película. </t>
  </si>
  <si>
    <t xml:space="preserve">Suporte para colocar eixos da PKD
-----------------------------------
Pedro Ferreira: Ideia conversada entre eu e o Vitor, além disso, foi aberto uma etiqueta de 5S, e essa questão será discutida o melhor local para a acomodação do eixo. </t>
  </si>
  <si>
    <t>FB0122224</t>
  </si>
  <si>
    <t xml:space="preserve">faixa de pedestre </t>
  </si>
  <si>
    <t>Faixa de pedestre para sinalizar a entrada e saída das pessoas que saem do contêiner da moagem
Manufatura: Aprovado e aguardando SHE</t>
  </si>
  <si>
    <t>FB0122228</t>
  </si>
  <si>
    <t xml:space="preserve">melhoria na troca de bobina </t>
  </si>
  <si>
    <t xml:space="preserve">Fixa um suporte no chão para prender o aplicador de fita de referência fazer igual o da PKD
Pode colocar nas fabrimas e Raumak </t>
  </si>
  <si>
    <t>FB0122351</t>
  </si>
  <si>
    <t xml:space="preserve">cabo de energia solto no chão na seladora de fazer revisão </t>
  </si>
  <si>
    <t>Fazer um suporte aéreo para passagem do cabo de energia</t>
  </si>
  <si>
    <t>FB0122411</t>
  </si>
  <si>
    <t xml:space="preserve">inspecionar guias da esteira de entrada do robô </t>
  </si>
  <si>
    <t>Inspecionar guias da esteira de entrada do robô se necessário fazer ajuste na posição da guia</t>
  </si>
  <si>
    <t>FB0122564</t>
  </si>
  <si>
    <t>Substituição de quadros de PT com acrílico fixo por quadros magnéticos</t>
  </si>
  <si>
    <t>Atualmente, os quadros de PT de SHE possuem acrílicos fixos que dificultam a limpeza, acumulando poeira e sujidade. A proposta é substituir esses quadros por modelos magnéticos, que permitem a remoção simples das proteções pelo time de limpeza, garantindo maior higiene, praticidade e melhor conservação da informação exposta. Além disso, a mudança reduzirá o esforço manual, o tempo de limpeza e contribuirá para um ambiente mais organizado.
Aprovado.</t>
  </si>
  <si>
    <t>FB0122568</t>
  </si>
  <si>
    <t>Fechadura com acesso por biometria na sala de armazenamento de químicos</t>
  </si>
  <si>
    <t>Instalação de fechadura eletrônica de acesso por biometria na sala de produtos químicos, com possibilidade de registro de acessos por pessoa
Foto em anexo de modelo de exemplo para implementação.</t>
  </si>
  <si>
    <t>FB0122583</t>
  </si>
  <si>
    <t xml:space="preserve">falta de chave </t>
  </si>
  <si>
    <t xml:space="preserve">Na atividade de troca de teflon da Raumak é necessário de uma chave 17  não veio no quite de ferramentas.
É necessário conversar co a operação para ver quais chaves são necessárias se tivéssemos todas as chaves ajudaria até mesmo na inspeção das peneiras não sendo necessário pegar a chave do armário perdendo assim um tempo 
Outra alternativa seria a padronização dos parafusos nos moinhos, para que fosse utilizados menos chaves, reduzindo a alta demanda por diferentes chaves.
-------------------------------
Pedro Ferreira: Segundo os operadores precisam de Chave combinada 17 e 19, assim, a aquisição será de 12 de cada uma. 
</t>
  </si>
  <si>
    <t>FB0122630</t>
  </si>
  <si>
    <t xml:space="preserve">suporte de utensílio </t>
  </si>
  <si>
    <t xml:space="preserve">Colocar suporte para utensílios na plataforma da PKD </t>
  </si>
  <si>
    <t>FB0122670</t>
  </si>
  <si>
    <t>Novo local para sacos de lixo</t>
  </si>
  <si>
    <t>Com a possível alocação do eixo da bobina da PKD no suporte onde fica o saco de lixo, seria possível realocar os sacos de lixo, assim, duas escolhas foram levadas em consideração, a primeira na mesa de teste de furo (melhor logística para os operadores) ou entre as pilastras como mostrado na imagem. Portanto, a intenção seria colocar o suporte igual ou parecido ao próximo os moinhos (semelhante na imagem em anexo).</t>
  </si>
  <si>
    <t>FB0123103</t>
  </si>
  <si>
    <t xml:space="preserve">óculos de segurança </t>
  </si>
  <si>
    <t>O meu óculos de segurança a parte que posiciona sobre o nariz está machucando e fica me causando dores de cabeça e eu tenho enxaqueca piora um pouco mais, Sugiro que pudesse encomendar um óculos que possui umas borrachas  no meio</t>
  </si>
  <si>
    <t>FB0123102</t>
  </si>
  <si>
    <t>Televisão no Container</t>
  </si>
  <si>
    <t xml:space="preserve">Instalar uma televisão e/ou monitor um pouco maior para deixar no container e ver a produção das máquinas. </t>
  </si>
  <si>
    <t>FB0123104</t>
  </si>
  <si>
    <t>Caderninho de Tempo de Descanso</t>
  </si>
  <si>
    <t xml:space="preserve">Todo início de mês, disponibilizar um caderninho com as folhas para Tempo de descanso, que fica no pedestal na frente do torrador. Sendo assim, as folhas evitariam ficar "jogadas" ou "esquecidas" em outros lugares, além de trazer ordem de produção e organização no serviço. </t>
  </si>
  <si>
    <t>FB0123275</t>
  </si>
  <si>
    <t xml:space="preserve">melhorias nos apalpadores </t>
  </si>
  <si>
    <t>Apalpadores mais largos e gordinho . E igualar tanto o da frente quanto o de trás para evitar a ficar gastando tempo em ajustes 
MANUTENÇÃO: MANUFATURA ORÇAR COM TERCEIRO</t>
  </si>
  <si>
    <t>FB0123284</t>
  </si>
  <si>
    <t xml:space="preserve">Caçamba de Descarte de resíduos </t>
  </si>
  <si>
    <t>As fabrimas possui o descarte do detector de metal e as peneiras cada uma possui o descarte das peneiras.
E tem que levar os descartes para a caçamba próximo a PKD.
Sugiro que pudesse colocar uma caçamba próximo as fabrimas para descarte pois é muito ruim levar os baldes de inox tem que esforçar muito a coluna e da má ergonomia.</t>
  </si>
  <si>
    <t>FB0123285</t>
  </si>
  <si>
    <t>Descarte de resíduos das peneiras</t>
  </si>
  <si>
    <t xml:space="preserve">As peneiras ao limpar, tem que varrer para tirar o café no chão e colocar no saco lixo e tem que desce-los passando pela escada, oque é um perigo pois pode escorregar e pode furar mesmo segurando no corrimão.
Sugiro que pudesse fazer um buraco na plataformas das peneiras onde que pudesse ter uma mangueira e pudesse varrer o café para este local e descartar o café mais fácil, e embaixo ter uma caçamba para colocar os resíduos tanto da peneira como dos descarte das fabrimas 
SHE: Devemos abrir um MOC para analisar os impactos da ideia. Necessitamos de um esboço de como ficará esta solução. A partir dessas informações poderemos aprovar ou recusar a ideia.
</t>
  </si>
  <si>
    <t>FB0124313</t>
  </si>
  <si>
    <t>Inclusão de parada no MOP</t>
  </si>
  <si>
    <t xml:space="preserve">Adicionar uma parada na PKD, Robô e código da subperda como Sensor do Robô, pois ao embalar café extra forte, as vezes o sensor não lê a fita preta, fazendo com que as caixas encavalem na esteira do robô. Sendo assim, temos que apontar a parada no MOP como Robô não pega caixa ou zona ZNL01 (o que não seria o ideal) </t>
  </si>
  <si>
    <t xml:space="preserve">Um manual com imagens e o passo a passo para que os operadores das fabrimas consigam inserir a bobina na sequencias certa através dos roletes </t>
  </si>
  <si>
    <t>FB0124363</t>
  </si>
  <si>
    <t xml:space="preserve">Aquisição de vinagre de maça  </t>
  </si>
  <si>
    <t xml:space="preserve">A opção de vinagre de maça nas refeições </t>
  </si>
  <si>
    <t>FB0124404</t>
  </si>
  <si>
    <t xml:space="preserve">retirar a caixa de coleiro reserva e passa a etiquetadora no lugar </t>
  </si>
  <si>
    <t>Melhor a passagem correta do fradinho ao sair da Raumak  
Pois os fardos n se alinha correto na passagem da etiqueta 
SHE: aprovado. Seguir com a MOC</t>
  </si>
  <si>
    <t>FB0124563</t>
  </si>
  <si>
    <t xml:space="preserve">teste centerlining </t>
  </si>
  <si>
    <t xml:space="preserve">Colocar centerlining mas com ranges de ajuste </t>
  </si>
  <si>
    <t>Ivomar Costa</t>
  </si>
  <si>
    <t>FB0124966</t>
  </si>
  <si>
    <t>Instalação de tomadas especiais para ventiladores no MOS Academy</t>
  </si>
  <si>
    <t xml:space="preserve">Durante o evento Piumhi Awards, realizado no espaço MOS Academy, foi identificado que o ambiente fica bastante quente.
Para melhorar o conforto térmico dos participantes, sugiro a instalação de duas tomadas especiais (do mesmo tipo utilizado para os ventiladores da produção) nas grades do MOS Academy, sendo uma em cada canto da grade.
Essas tomadas permitirão ligar ventiladores durante os eventos, melhorando a circulação de ar e o bem-estar dos associados.
</t>
  </si>
  <si>
    <t>FB0125022</t>
  </si>
  <si>
    <t>Balde furado para quedas de energia</t>
  </si>
  <si>
    <t>Baldes com o fundo furado exclusivos para atuação em quedas de energia, para facilitar o descarte de café e ganharmos tempo de retirada do café encharcado.. reduzindo a sujeira na área, diminuir os riscos de escorregão e acidentes com excesso de água no chão e melhoria na ergonomia.. pois o café cru principalmente + a água fica muito pesado.
Pelo menos 2 baldes.</t>
  </si>
  <si>
    <t>FB0125147</t>
  </si>
  <si>
    <t xml:space="preserve">caixinha para guardar as bolinhas do detector de metal </t>
  </si>
  <si>
    <t xml:space="preserve">caixinha para guardar as bolinhas do detector de metal , está sendo guardado em um saquinho , corre o risco de rasgar pois é armazenado junto com as maletas </t>
  </si>
  <si>
    <t>FB0125445</t>
  </si>
  <si>
    <t>Prateleiras na sala de químicos</t>
  </si>
  <si>
    <t>Instalação de prateleiras na sala de armazenamento de produtos químicos, com o objetivo de melhorar a organização dos produtos químicos armazenados.
A estrutura pode ser composta por prateleiras fixadas na parede com parafusos, conforme exemplo em foto, ou por prateleiras com suporte tipo mão francesa.
Além disso, realizar a remoção do armário antigo atualmente utilizado para armazenar documentos. Para substituí-lo, realizar a instalação de um organizador de documentos de parede, conforme modelo apresentado na imagem anexada.</t>
  </si>
  <si>
    <t>FB0125464</t>
  </si>
  <si>
    <t xml:space="preserve">Atualizar ponto de CIL nos Torradores </t>
  </si>
  <si>
    <t>XXXXXXXXXXXXXX</t>
  </si>
  <si>
    <t>FB0125639</t>
  </si>
  <si>
    <t>Cadeado na caixa de contenção da logística</t>
  </si>
  <si>
    <t>Instalação de cantoneiras para cadeado na caixa de contenção da logística.</t>
  </si>
  <si>
    <t xml:space="preserve">Com a incorporação da ideia das sirenes na troca de silo das fabrimas, é importante destacar os pontos onde estaria identificado quando a sirene vai acionar e o que o operador deve fazer, ou seja, definir um passo a passo, com tempo de resposta dos sensores dos silos, até o acionamento das sirenes, além de estabelecer que a sirene toca quando o sensor apaga e quando não há troca de rota dos silos. </t>
  </si>
  <si>
    <t>FB0125746</t>
  </si>
  <si>
    <t xml:space="preserve">colocar etiqueta </t>
  </si>
  <si>
    <t>Umas válvulas de registro dos torradores está sem entiques precisa fabricar as e tíquetes MF e MÁ para colocar no registro ( foi feito pedido Moisés realizar compra do material e fabricação das etiquetas.</t>
  </si>
  <si>
    <t>FB0125785</t>
  </si>
  <si>
    <t>ideia de melhoria teste</t>
  </si>
  <si>
    <t>Descrever informações completas</t>
  </si>
  <si>
    <t>FB0125969</t>
  </si>
  <si>
    <t>copo do dosador da fabrima 2</t>
  </si>
  <si>
    <t>Porta de inspeção do copo do dosador com dificuldade ao acesso na parte interna do copo</t>
  </si>
  <si>
    <t>FB0125980</t>
  </si>
  <si>
    <t>copo do dosador da fabrima 4</t>
  </si>
  <si>
    <t>FB0125981</t>
  </si>
  <si>
    <t>copo do dosador da fabrima 5</t>
  </si>
  <si>
    <t>FB0126026</t>
  </si>
  <si>
    <t>Troca dos parafusos</t>
  </si>
  <si>
    <t xml:space="preserve">Eu gostaria que trocasse os parafusos laterais onde fixa o mordente vertical da fabrima 4 e 2.
Para ficar que nem a da 5, Onde a 5 Possui na lateral dele Um Parafuso de cabeça de plástico.
Usei a da Foto do parafuso como referência para que possam entender.
E também marquei com o vermelho os parafuso da 5 o qual que eu gostaria que ficasse que pudesse trocar a da 4 e 2 para ficar que nem a 5.
Pois facilita muito ao trocar o teflon do mordente vertical.
Pois durante o turno tem vezes que o teflon não está bom e ter que trocar durante o turno pois suja de café e tira a cola do teflon , E fazendo a Troca dos parafusos laterais onde fixa o mordente vertical e ficasse que nem a 5 Facilitaria muito para nós operadores ao trocar o teflon,Pois aí não precisaria procurar qual chave que é, pois seria só desenroscar o parafuso com a cabeça de plástico. </t>
  </si>
  <si>
    <t>FB0126250</t>
  </si>
  <si>
    <t>SUPORTE PARA TAMPAS DOS MOINHOS</t>
  </si>
  <si>
    <t>Produzir um suporte para as tampas dos moinhos, para ser utilizado nas preventivas. Assim evitando que elas amassem ou sejam contaminadas.
Precisamos apenas comprar o material, será produzido por um mecânico da JDE.</t>
  </si>
  <si>
    <t>FB0126261</t>
  </si>
  <si>
    <t>pintura de amarelo de toda cerca cinza e pilares</t>
  </si>
  <si>
    <t>Efetuando o treinamento de empilhadeira notei que toda estrutura de cercado da fábrica é em amarelo exceto algumas partes que suspeito ter sido colocada mais recente.
Para uma melhor visualização , evitar acidentes e padronização escrevo essa ideia de pintar todas as grades de amarelo na parada de fim de ano.
Junto dessa ideia complemento com outra que seria pintar os pilares em amarelo, todos que estejam tenha trânsito da empilhadeira ou carro de limpeza na sua área. (Caso essa seja vista como outra ideia entre em contato para eu realizar o cadastro).</t>
  </si>
  <si>
    <t>BRUNO BARCELOS RESENDE</t>
  </si>
  <si>
    <t>FB0126285</t>
  </si>
  <si>
    <t>Alteração CIL Mensal dos Moinhos</t>
  </si>
  <si>
    <t xml:space="preserve">Alterar o CIL estrutural para os 6 moinhos pois na nova versão, estrutural, não é possível os tres operadores assinarem que realizaram a atividade, mas os tres realizam porém em moinhos diferentes. </t>
  </si>
  <si>
    <t>FB0126286</t>
  </si>
  <si>
    <t>Trocar o quadro de OPS1 do torrador</t>
  </si>
  <si>
    <t xml:space="preserve">Trocar o quadro, colocar um acrilico na frente do quadro de OPS1 dos torradores, visto que o que tem lá não dá mais para escrever de tão gasto. 
-------------------------------
Pedro Ferreira (05/11): Orçamento já realizado, falta apenas a execução. </t>
  </si>
  <si>
    <t>FB0126312</t>
  </si>
  <si>
    <t xml:space="preserve">perder </t>
  </si>
  <si>
    <t>Prender o estilete na mesa para que não suma novamente. Fica no mino 4 metros para que possam ser usados para abrir o paletes de caixas 
Manutenção: Mecanico foi para realizar o furo e a instalação e foi dito que não poderia pois só tinham um estilete!</t>
  </si>
  <si>
    <t>FB0126514</t>
  </si>
  <si>
    <t>Conectar o detector de Metais nas maquinas</t>
  </si>
  <si>
    <t>A ideia é conectar o detector de metais nas maquinas para impedir o ligamento da máquina sem ligar o detector de metais. 
Manutenção: Foi aliando no projeto inicial de não interligar pois caso detector de metais, não ligue a maquina não vai ligar! necessario aprovação de outras areas
Manufatura: é complicado essa interligação pois na PKD por exemplo o detector ainda está sem funcionar, outro ponto é que o operador precisa fazer a verificação do PPRO com as bolinhas no início e meio do turno, então ele veria neste momento que o detector estaria ligado ou não</t>
  </si>
  <si>
    <t>FB0127122</t>
  </si>
  <si>
    <t xml:space="preserve">suporte para utensílios </t>
  </si>
  <si>
    <t xml:space="preserve">Suporte para utensílios de limpeza na área de descarte </t>
  </si>
  <si>
    <t>FB0127239</t>
  </si>
  <si>
    <t xml:space="preserve">tambor reserva captação de pó PKD </t>
  </si>
  <si>
    <t xml:space="preserve">Tambor reserva captação de pó da PKD </t>
  </si>
  <si>
    <t>FB0127277</t>
  </si>
  <si>
    <t>lixeira individual para copos</t>
  </si>
  <si>
    <t>Lixeira para copos descartáveis 
SHE: Não viável pois nossos copos plásticos descartáveis não são destinados para a reciclagem devido ao tipo de plásticos que ele é feito (PS), sendo assim, como alternativa eles são destinados a blendagem para coprocessamento, mesma tecnologia utilizada para o lixo comum e alternativas para resíduos onde não possam ser reciclados. Na pratica o copo plástico descartável é um lixo comum</t>
  </si>
  <si>
    <t>FB0127350</t>
  </si>
  <si>
    <t>Reformulação dos painéis de Alarmes</t>
  </si>
  <si>
    <t>As folhas nos painéis de alarmes estão desatualizadas, precisa-se atualizar para que os brigadistas tenham mais assertividade na hora de uma emergência.</t>
  </si>
  <si>
    <t>FB0127390</t>
  </si>
  <si>
    <t xml:space="preserve">Colocar um suporte na área de descarte </t>
  </si>
  <si>
    <t xml:space="preserve">Colocar suporte da vassoura, pazinha e do varre mesa na área descarte das caçambas pra facilitar pra fazer a limpeza do local. </t>
  </si>
  <si>
    <t>FB0127477</t>
  </si>
  <si>
    <t xml:space="preserve">ontem de parada faltando na árvore de perda da PKD </t>
  </si>
  <si>
    <t>Magazine de pacotes</t>
  </si>
  <si>
    <t>FB0127482</t>
  </si>
  <si>
    <t xml:space="preserve">Colocar um "copinho" na mesa do borracheiro da PKD </t>
  </si>
  <si>
    <t xml:space="preserve">Colocar algum suporte na mesa do borracheiro para poder colocar as borrachinhas que são necessárias para realizar o borracheiro, visto que hoje fica dentro do rolinho de uma fita azul. </t>
  </si>
  <si>
    <t>FB0127528</t>
  </si>
  <si>
    <t>realizar a troca de lado da mangueira do ar comprimido Fab 4</t>
  </si>
  <si>
    <t>troca da mangueira do ar comprimido que é usada para encher o eixo expansivo , a mesma está do lado invertido</t>
  </si>
  <si>
    <t>FB0127575</t>
  </si>
  <si>
    <t>Mesa para LUP</t>
  </si>
  <si>
    <t>Mesa para ser disponibilizada na sala piumhi para que os operadores possam elaborar LUPs. Nas gavetas podemos deixar os materiais necessários para desenho e junto já o box de aprovação. A proposta de ser na sala piumhi é para ser próximo à operação mas não ter problemas de qualidade com os materiais de desenho. Ação do Pilar MA.</t>
  </si>
  <si>
    <t>FB0127682</t>
  </si>
  <si>
    <t xml:space="preserve">incluir linha  na categoria de apontamento do robô </t>
  </si>
  <si>
    <t xml:space="preserve">incluir linha  na categoria de apontamento do robô , operadores estão tendo dificuldade em lembrar de especificar qual linha teve a parada, tendo uma opção de qual linha fica mais fácil para o apontamento 
Linha 4 
Linha 5
Ou  Fabrima 4 e 5
</t>
  </si>
  <si>
    <t>FB0127698</t>
  </si>
  <si>
    <t>Espelho para o Banheiro femenino</t>
  </si>
  <si>
    <t xml:space="preserve">A instalação de um espelho corpo completo na area dos banheiros </t>
  </si>
  <si>
    <t>FB0127699</t>
  </si>
  <si>
    <t>QR DE RH</t>
  </si>
  <si>
    <t>Criar um QR Code para sugestões e reclamações de temas voltados para RH. Igual o que temos  para o refeitório</t>
  </si>
  <si>
    <t>FB0127763</t>
  </si>
  <si>
    <t xml:space="preserve">Acumulador </t>
  </si>
  <si>
    <t>Foi aberto uma ideia sobre fazer uma lubrificação do arremessador!
Sugiro que também possa aproveitar a oportunidade de estar fazendo a lubrificação dos componentes do Acumulador, Arremessador e junto com os outros demais componentes que necessitam de lubrificação!
Para que possa ter um bom funcionamento, pois evita desgaste nas peças e a máquina perfomance melhor e não ocorra muitas paradas não planejadas, pois estava acontecendo falhas frequentes na Raumak e foi necessário somente lubrificar as peças e além do mais precisou mexer nos parâmetros!
SE POSSÍVEL APLICAR ESTA IDEIA UMA VEZ POR MÊS!</t>
  </si>
  <si>
    <t>FB0127775</t>
  </si>
  <si>
    <t>Inspeção visual dos mordentes horizontal e borracha</t>
  </si>
  <si>
    <t>Gostaria que aplicasse no CIL, Sobre a inspeção visual dos mordentes horizontal, pois não tem no cil, para uma melhor selagem do fardo e caso esteja ruim ter que trocar o teflon</t>
  </si>
  <si>
    <t>FB0127776</t>
  </si>
  <si>
    <t xml:space="preserve">Troca do Níquel cromo mensal </t>
  </si>
  <si>
    <t>Programar para os eletrônicos fazer a troca dos níquel cromo mensal, para uma selagem perfeita, e peço que coloque um papel no contanier para que os eletrônicos assinem mostrando que trocou o níquel cromo
MANUTENÇÃO: ESSA TROCA DO NIQUEL CROMO JÁ FOI  DISCUTIDA COM ELETRONICO VISTO NECESSARIO A TROCA A CADA 2 MESES PREVENTIVAMENTE</t>
  </si>
  <si>
    <t>FB0127777</t>
  </si>
  <si>
    <t>troca do teflon dos mordentes horizontal de 15 em 15 dias</t>
  </si>
  <si>
    <t>Programar para um turno específico para trocar o teflon de 15 em 15 dias do mordente horizontal da Raumak(  Níquel cromo), para uma melhor durabilidade do níquel cromo.
COMENTÁRIO ADICIONAL EMILLY:
Programar para o 2T fazer a troca;</t>
  </si>
  <si>
    <t>FB0127861</t>
  </si>
  <si>
    <t>realizar padronização da bailarina da Fabrima 4 e 5  de acordo com a Fabrima 2 e 3</t>
  </si>
  <si>
    <t>Deve ser realizado a confecção do novo sistema de acordo com a bailarina da Fabrima 2 e 3</t>
  </si>
  <si>
    <t>FB0127877</t>
  </si>
  <si>
    <t>CIL mensal torradores</t>
  </si>
  <si>
    <t xml:space="preserve">Incluir no CIL mensal dos torradores a limpeza das fornalhas internas dos torradores, a limpeza é indicado para que não haja acumulo de sujidade que pode contaminar o self clean e consequentemente as camaras de torra </t>
  </si>
  <si>
    <t>FB0127878</t>
  </si>
  <si>
    <t xml:space="preserve">CIL mensal torradores </t>
  </si>
  <si>
    <t>Incluir limpeza de grades do sistema de resfriamento das camaras de resfriamento, a limpeza é necessário para que o sistema de resfriamento não tenha dificuldade em passagem de ar por sujidade 
Frequência: mensal</t>
  </si>
  <si>
    <t>FB0128040</t>
  </si>
  <si>
    <t xml:space="preserve">Padronização das Reguladoras de fluxo do acumulador de pacotes </t>
  </si>
  <si>
    <t>Padronizar as reguladoras de fluxo do cilindro do acumulador 
sugestão: Colocarmos os reguladores que contam o numero de voltas para colocarmos no mapa de ajuste.</t>
  </si>
  <si>
    <t>FB0128285</t>
  </si>
  <si>
    <t xml:space="preserve">Incluir no CIL mensal a limpeza das ventosa </t>
  </si>
  <si>
    <t xml:space="preserve">Treinamento de limpeza das ventosas ja foi passado para a Operação e IT ja esta realizada 
Necessário incluir atividade no CIL </t>
  </si>
  <si>
    <t>FB0128286</t>
  </si>
  <si>
    <t xml:space="preserve">Incluir no CIL a troca dos teflons das Guias internas do arremessador </t>
  </si>
  <si>
    <t>No plano contempla somente a troca das guias da esteira rápida, necessário colocar as guias internas do arremessador (CIL mensal)</t>
  </si>
  <si>
    <t>FB0128292</t>
  </si>
  <si>
    <t>Solda na fixação do cilindro acumulador da Raumak 04</t>
  </si>
  <si>
    <t xml:space="preserve">Replicar melhoria do suporte da fixação do cilindro acumulador 
como ocorreu a quebra dessa peça de fixação algumas vezes, foi realizado a solda do suporte no conjunto do arremessador </t>
  </si>
  <si>
    <t>FB0128406</t>
  </si>
  <si>
    <t>Sensor de Películas torrador 3</t>
  </si>
  <si>
    <t xml:space="preserve">Viabilizar o funcionamento do sensor de nível de películas do torrador 3; que já existe no local está ligado, mas não funciona via supervisorio, sendo necessário monitoramento constante da operação e risco de obstrução de ciclone. </t>
  </si>
  <si>
    <t>Criar um sistema "reserva" onde a rosca plana de película continue em funcionamento mesmo que a inclinada pare, este sistema teria que continuar expulsando a película mesmo que seja jogada no chão. Isso evitaria a obstrução dos ciclones deixando de impactar as paradas para resfriamento do torrrador, e desobstrução. 
Manufatura: Precisamos de avaliação de SHE e automação por favor
SHE: Ponto de vista de SHE, ideia deveria ser cancelada, mas verificar com engenharia.</t>
  </si>
  <si>
    <t>FB0128544</t>
  </si>
  <si>
    <t>Mudança de rotas dos moinhos</t>
  </si>
  <si>
    <t>Ajustar a logica para que pudesse usar diferentes moinhos para abastecer um silo, e da mesma forma puxar de um silo de grão. O exemplo usado que temos 2 moinhos parados de diferentes pares isso força o operador a utilizar apenas um moinho, se pudéssemos utilizar moinhos diferentes seria a solução para não parar moinho. EX: moinho 2 e 5 parados. Hoje poderíamos ligar o 3e4 em conjunto e escolher ligar o 1 ou o 6 . A ideia seria que os pares não fossem fixos, possibilitando ligar o moinho 1 e 3 em par e 4 e 6 em par com isso não teríamos impacto na moagem e em empacotamento.
Manufatura: precisamos da avaliação de automação por favor</t>
  </si>
  <si>
    <t>FB0128608</t>
  </si>
  <si>
    <t>colocar um inforca gato no lototo</t>
  </si>
  <si>
    <t xml:space="preserve">Melhor para encaixar no cadeado e evita o rasgo do lototo , economizando mais </t>
  </si>
  <si>
    <t>FB0128739</t>
  </si>
  <si>
    <t xml:space="preserve">Alteração CIL Fabrimas </t>
  </si>
  <si>
    <t xml:space="preserve">Mudar o modo de realizar a atividade "Roletes da Fabrima" para passar o varremesa e pano perflex. </t>
  </si>
  <si>
    <t>FB0128740</t>
  </si>
  <si>
    <t xml:space="preserve">Alteração no CIL das Fabrimas </t>
  </si>
  <si>
    <t xml:space="preserve">Mudar a frequência da limpeza do acomodador do robô, ao invés de quinzenalmente ser mensalmente. Consequentemente, adicionar no CIL mensal a limpeza do mesmo. </t>
  </si>
  <si>
    <t>FB0129252</t>
  </si>
  <si>
    <t>Melhoria Centerlining PKD /Forms</t>
  </si>
  <si>
    <t xml:space="preserve">No campo de preenchimento do produto que está sendo envasado .Ja tenha uma listas dos produtos disponível que são envasado </t>
  </si>
  <si>
    <t>FB0129296</t>
  </si>
  <si>
    <t xml:space="preserve">ideia fechar todas as partes abertas das fabrimas diminuindo contaminação e sujeira </t>
  </si>
  <si>
    <t xml:space="preserve">Ideia vinda do projeto mentalidade de dono </t>
  </si>
  <si>
    <t>FB0129489</t>
  </si>
  <si>
    <t>colarinho fabrima 5</t>
  </si>
  <si>
    <t xml:space="preserve">Fazer marcação ,onde o filme tem que passar , para garantir uma selagem vertical perfeita , ficando mais fácil saber onde será feito o ajuste do colarinho , caso seja necessário, implementar no CIL </t>
  </si>
  <si>
    <t>FB0129525</t>
  </si>
  <si>
    <t xml:space="preserve">medir o nível dos roletes da data e corte </t>
  </si>
  <si>
    <t xml:space="preserve">medir o nível dos roletes da data e corte  ( nas preventivas ), pois são roletes de fazem movimentos, podendo vir a comprometer a formação dos pacotes e a codificação </t>
  </si>
  <si>
    <t>FB0129528</t>
  </si>
  <si>
    <t xml:space="preserve">conferir o nível do rolete do freio </t>
  </si>
  <si>
    <t xml:space="preserve">Fazer conferência nas preventivas , do nível do rolete ,pois esse rolete faz movimentos , e já tivemos problemas com parafusos com folgas , fazendo essa conferência de nível , já pode ser inspecionados os parafusos , e o freio com problema compromete a selagem da vertical </t>
  </si>
  <si>
    <t>FB0129531</t>
  </si>
  <si>
    <t>Aspirador pneumático com material de Kevlar</t>
  </si>
  <si>
    <t>Desenvolver um aspirador pneumático com a bolsa de armazenamento de resíduo de kevlar, para a limpeza das estruturas dos ciclones (CIL turno a turno dos torradores); hoje é usado ar comprimido para realizar devido a temperatura alta do sistema de ciclones, porém, a área é considerada ATEX não sendo o ideal usar ar comprimido. Esse aspirador seria uma forma segura para o processo e para as pessoas. 
SHE: Aprovado.</t>
  </si>
  <si>
    <t>FB0129614</t>
  </si>
  <si>
    <t xml:space="preserve">inspeção </t>
  </si>
  <si>
    <t xml:space="preserve">Inspecionar pressão dos socadores PKD </t>
  </si>
  <si>
    <t>FB0129946</t>
  </si>
  <si>
    <t xml:space="preserve">Correia de arraste fabrimas </t>
  </si>
  <si>
    <t xml:space="preserve">Realizar nas preventivas o alinhamento das correias de arraste, pois é fundamental estarem alinhadas para a tração funcionar perfeitas </t>
  </si>
  <si>
    <t>FB0129965</t>
  </si>
  <si>
    <t xml:space="preserve">Instalação de sensor ultrassônico no silos de biomassa </t>
  </si>
  <si>
    <t>Atualmente, o sensor de nível máximo dos silos de serviço (biomassa) é do tipo capacitivo, dependente de contato para atuar. Temos ocorrências crônicas de formação de bolsões de ar no interior do silo, impedindo o acionamento do sensor e resultando em transbordamentos.
A proposta é substituir o sensor capacitivo por um sensor ultrassônico, que não requer contato com o material para realizar a medição. Esse tipo de sensor permite medir distâncias e níveis, além de detectar presença de objetos ou obstáculos, mantendo desempenho mesmo em ambientes com poeira ou superfícies irregulares.</t>
  </si>
  <si>
    <t>FB0129970</t>
  </si>
  <si>
    <t>Instalação de softstarter no sistema de partida das roscas extratoras dos Moinhos</t>
  </si>
  <si>
    <t>Atualmente, as roscas extratoras dos moinhos operam em partida direta, ou seja, os motores não utilizam rampa de aceleração suave. Esse modo de partida provoca esforços mecânicos elevados, resultando em desgaste prematuro tanto dos motores quanto das roscas, além de aumentar os custos de manutenção e o tempo de parada dos moinhos.</t>
  </si>
  <si>
    <t>FB0130456</t>
  </si>
  <si>
    <t>Limpeza do gerador de vácuo do robô - CIL</t>
  </si>
  <si>
    <t>Incluir no CIL a limpeza do gerador de vácuo do robô e a inspeção da integridade das borradas.
A LUP sobre essa atividade já existe. Ao incluir no CIL colocar a referência da LUP: 07-13.494</t>
  </si>
  <si>
    <t>FB0130496</t>
  </si>
  <si>
    <t xml:space="preserve"> CIL MENSAL</t>
  </si>
  <si>
    <t>Realizar lubrificação das guias lineares do introdutor de pacotes (esteira de entrada da encaixotadora)</t>
  </si>
  <si>
    <t>FB0130497</t>
  </si>
  <si>
    <t>CIL MENSAL</t>
  </si>
  <si>
    <t xml:space="preserve">Realizar  lubrificação do mancal oposto ao acionamento da corrente principal </t>
  </si>
  <si>
    <t>FB0130498</t>
  </si>
  <si>
    <t xml:space="preserve">CIL MENSAL </t>
  </si>
  <si>
    <t xml:space="preserve">Realizar lubrificação dos mancais da esteira de saída do robô </t>
  </si>
  <si>
    <t>FB0130499</t>
  </si>
  <si>
    <t xml:space="preserve">CIL Mensal </t>
  </si>
  <si>
    <t>Realizar lubrificação do mancal do acionamento do magazine de caixa</t>
  </si>
  <si>
    <t>FB0130500</t>
  </si>
  <si>
    <t>Realizar lubrificação das guias do magazine de caixa</t>
  </si>
  <si>
    <t>FB0130501</t>
  </si>
  <si>
    <t xml:space="preserve">Adicionar o ponto "Magazine de Caixas" no CIL da PKD. 
Observação: lubrificação. </t>
  </si>
  <si>
    <t>FB0130502</t>
  </si>
  <si>
    <t xml:space="preserve">Adicionar o ponto "Guias da corrente e engrenagens do magazine de caixas" no CIL da PKD. 
Observação: lubrificação. </t>
  </si>
  <si>
    <t>FB0130503</t>
  </si>
  <si>
    <t>CIL Mensal</t>
  </si>
  <si>
    <t xml:space="preserve">Adicionar o ponto "Braço das Ventosas" no CIL da PKD. 
Observação: lubrificação. </t>
  </si>
  <si>
    <t>FB0130504</t>
  </si>
  <si>
    <t xml:space="preserve">Adicionar o ponto "Virador de Caixas" no CIL da PKD. 
Observação: lubrificação. </t>
  </si>
  <si>
    <t>FB0130505</t>
  </si>
  <si>
    <t xml:space="preserve">Adicionar o ponto "Esteira de entrada de pacote" no CIL da PKD. 
Observação: lubrificação. </t>
  </si>
  <si>
    <t>FB0130794</t>
  </si>
  <si>
    <t>Ideia André: Ponto eletrônico Secullum - registro facil</t>
  </si>
  <si>
    <t>André deu a sugestão de alterar o ponto para o Secullum conforme vídeo: https://www.youtube.com/watch?v=zd_dyr3VODk&amp;t=1s</t>
  </si>
  <si>
    <t>FB0130845</t>
  </si>
  <si>
    <t xml:space="preserve">Falta de escada nas fabrimas </t>
  </si>
  <si>
    <t>Falta de escada nas fabrimas, e uso obrigatório é necessário! Peço que possam estar solicitando 3 escadas uma para 2 e uma 4 e outra para 5 para fácil manuseio</t>
  </si>
  <si>
    <t>FB0131272</t>
  </si>
  <si>
    <t>GANCHOS PARA CAPA DE CHUVA</t>
  </si>
  <si>
    <t>Instalar próximo a prateleira de capacetes, ganchos para pendurar capas de chuva.</t>
  </si>
  <si>
    <t>O intuito é que possa ser mais rápido para reprocessar.</t>
  </si>
  <si>
    <t>FB0131371</t>
  </si>
  <si>
    <t>FB0131419</t>
  </si>
  <si>
    <t>fazer um suporte para colocar embalagem de teste de R.o</t>
  </si>
  <si>
    <t>Fazer caixa de suporte para embalagem de teste de R.O</t>
  </si>
  <si>
    <t>FB0131422</t>
  </si>
  <si>
    <t>Extensão da altura da moega de Cavaco</t>
  </si>
  <si>
    <t xml:space="preserve">A ideia é aumentar a altura das laterais e da parte de trás da moega em 60 cm para evitar cair cavaco no chão. A altura da parte da frente será mantida.
</t>
  </si>
  <si>
    <t>FB0131431</t>
  </si>
  <si>
    <t xml:space="preserve">melhoria das caçamba de rejeito do torrador </t>
  </si>
  <si>
    <t>A ideia é reaproveitar a caçamba que será inutilizada para substituir o big bag que fica para armazenar o rejeito de poeira dos captadores de pó. Para implementar essa substituição, será necessário afunilar o fundo de forma que a abertura do fundo para descarte final fique centralizado para facilitar o escoamento do pó, evitando a dispersão de pó na área externa ao realizar o descarte na caçamba da ambipar e o impacto da estrutura da tampa na caçamba, diminuindo o desgaste da estrutura da caçamba. Além de realizar uma melhoria na da alça para transporte que seria completa, melhorando o encaixe do garfo.</t>
  </si>
  <si>
    <t>FB0131465</t>
  </si>
  <si>
    <t>mangueira de ar PKD</t>
  </si>
  <si>
    <t>Sugiro que está mangueira tenha um tamanho menor , que fosse o suficiente para limpar a balança e colocar ar no eixo da bobina 
MANUTENÇÃO: IDEIA OK, POREM AVALIAR A VIABILIDADE COM A MANUFATURA.</t>
  </si>
  <si>
    <t>FB0131529</t>
  </si>
  <si>
    <t>exaustor na área de descarga do café cru</t>
  </si>
  <si>
    <t>Colocar um sistema de exaustão de pó e calor em cima da área de descarga de café cru
MANUTENÇÃO E ENGENHARIA: IDEIA INVIAVEL, VISTO QUE A UM PROJETO QUE SERÁ EXECUTADO FUTURAMENTE QUE IRÁ RESOLVER ESSE PROBLEMA, ALÉM DISSO TRATA-SE DE UM PROJETO E NÃO DE UMA IDEIA, VISTO QUE ECONOMICAMENTE FALANDO SERIA DE ALTO VALOR.</t>
  </si>
  <si>
    <t>FB0131780</t>
  </si>
  <si>
    <t>redução do trilho da caçamba de captação de pó do despredador 2</t>
  </si>
  <si>
    <t>Deveríamos reduzir o comprimento do trilho para evitarmos colisões do pneu da empilhadeira
Podemos realizar internamente, só precisa de um mecânico para cortar a peça.
Pedro Ferreira: Ideia aprovada e será realizada pela manutenção assim que possível.</t>
  </si>
  <si>
    <t>FB0131781</t>
  </si>
  <si>
    <t>suporte de trava para segurar o portão de entrada da carreta café cru</t>
  </si>
  <si>
    <t>Melhorar a segurança do portão em caso de ventos e chuvas fortes 
MANUTENÇÃO: ESTÁ VERIFICANDO VIABILIDADE</t>
  </si>
  <si>
    <t>FB0131895</t>
  </si>
  <si>
    <t xml:space="preserve">Realizar a colocação de ponto de tomada </t>
  </si>
  <si>
    <t xml:space="preserve">Realizar a implantação de tomada  no ponto demarcado para o uso do aspirador de pó na encaixotadora.
Ideia discutida com o Eletrônico Wallace </t>
  </si>
  <si>
    <t xml:space="preserve">Incluir a atividade de limpeza das ventosas do robô no CIL mensal, tendo em vista que o pessoal ja foi treinado da forma correta de realizar a atividade </t>
  </si>
  <si>
    <t>FB0132035</t>
  </si>
  <si>
    <t>Incluir no CIL mensal a atividade de limpeza da lona da esteira rápida, tendo em vista que e um ponto que quando sujo pode causar má formação de fardos... devido a sujeira o pacote não e tracionado corretamente pela esteira.</t>
  </si>
  <si>
    <t>Thaissa Oliveira</t>
  </si>
  <si>
    <t>FB0132038</t>
  </si>
  <si>
    <t>Inclusão de atividade no CIL mensal</t>
  </si>
  <si>
    <t>Incluir a atividade do CIL mensal de troca dos teflons das guias da esteira rápida e as guias do arremessador (Pontos onde quando há desgaste dos teflons causa muitas paradas não planejadas por má formação de fardos</t>
  </si>
  <si>
    <t>FB0133405</t>
  </si>
  <si>
    <t xml:space="preserve">adicionar ar comprimido </t>
  </si>
  <si>
    <t>Adicionar uma mangueira de ar comprimido no lado citado na seta, para melhoria de limpeza da plataforma.</t>
  </si>
  <si>
    <t>Pablulo Andrade</t>
  </si>
  <si>
    <t>FB0133528</t>
  </si>
  <si>
    <t>alteração da batelada silo 11</t>
  </si>
  <si>
    <t>Altera o peso da batelada de 500 para 250 kilos.Igor fez a melhoria está pendente teste.</t>
  </si>
  <si>
    <t>Fernando J Santos</t>
  </si>
  <si>
    <t>FB0133529</t>
  </si>
  <si>
    <t>Batente do tubo formador</t>
  </si>
  <si>
    <t>Criar um centerlining do batente do tubo formador, com uma margem ou um padrão fixo, visando evitar ajustes nele.</t>
  </si>
  <si>
    <t>FB0133631</t>
  </si>
  <si>
    <t>Vamos Nos Movimentar</t>
  </si>
  <si>
    <t>JDE subsidiar inscrições ou parte da inscrição para iniciativas de práticas em competições esportivas. Exemplo: inscrições em corridas de rua, campeonatos de beach tennis, e etc. Interessante se tiver um uniforme para que o associado leve a companhia também para o evento.</t>
  </si>
  <si>
    <t>FB0134193</t>
  </si>
  <si>
    <t>Trava da bailarina 4</t>
  </si>
  <si>
    <t xml:space="preserve">Criar uma trava para auxilio na troca de bobina fabrima 4 
</t>
  </si>
  <si>
    <t>FB0134194</t>
  </si>
  <si>
    <t xml:space="preserve">Trava da bailarina 5 </t>
  </si>
  <si>
    <t>Criar uma trava para auxilio na troca de bobina fabrima 5</t>
  </si>
  <si>
    <t>FB0134195</t>
  </si>
  <si>
    <t>Sensor da caçamba de pelicula com diversas falhas</t>
  </si>
  <si>
    <t>Mudar o modelo de sensor e fazer um novo suporte para que não ocorra a leitura de fumaça e fique atuando indevidamente e que nao ocorra a não leitura da pelicula</t>
  </si>
  <si>
    <t>FB0134196</t>
  </si>
  <si>
    <t>Arraste da linha 5</t>
  </si>
  <si>
    <t>Realizar mudança na confecção do eixo do arraste afim de sanar folgas nos acoplamento e diminuição de quebras provenientes desses acoplamentos, 
Padronização tbm dos motoredutores</t>
  </si>
  <si>
    <t>FB0134197</t>
  </si>
  <si>
    <t>Tomadas dos motores do arraste da fabrima 4</t>
  </si>
  <si>
    <t>Montar tomadas para facil desligamento dos motores do arraste da fabrima 4, (copiar layout da fabrima 5)</t>
  </si>
  <si>
    <t>FB0135036</t>
  </si>
  <si>
    <t xml:space="preserve">Instalar um interruptor do lado da porta do almoxarifado </t>
  </si>
  <si>
    <t xml:space="preserve">Instalar um interruptor do lado da porta do almoxarifado, pois o que temos fica muito distante da porta, assim podemos ligar e desligar sempre que não tiver ninguém na sala </t>
  </si>
  <si>
    <t>FB0135037</t>
  </si>
  <si>
    <t xml:space="preserve">pedestal fixo </t>
  </si>
  <si>
    <t xml:space="preserve">Pedestal fixo para nosso estoque 3001 e 3003 sendo que 2 metros custa R$603 ,57 </t>
  </si>
  <si>
    <t>FB0135171</t>
  </si>
  <si>
    <t xml:space="preserve">CIL Mensal PKD </t>
  </si>
  <si>
    <t xml:space="preserve">Adicionar o ponto de lubrificação na Roda de Mandril - Conforme IT </t>
  </si>
  <si>
    <t>FB0135172</t>
  </si>
  <si>
    <t xml:space="preserve">Adicionar o ponto de lubrificação na extração de pacotes do mandril </t>
  </si>
  <si>
    <t>FB0135173</t>
  </si>
  <si>
    <t xml:space="preserve">Adicionar o ponto de lubrificação das guias dp conjunto de socadores 1 </t>
  </si>
  <si>
    <t>FB0135184</t>
  </si>
  <si>
    <t>Adicionar o ponto de lubrificação  do came e eixo do movimento dos socadores 1</t>
  </si>
  <si>
    <t>FB0135706</t>
  </si>
  <si>
    <t xml:space="preserve">usa caixas novas pra acender a fornalha </t>
  </si>
  <si>
    <t>Poderia usar uma gaiola somente com as caixas de descarte da encaixotadora e com as capas de papelão que vem no pallet de caixas , para acender a fornalha . Operadores de torrador pegam caixas novas para a atividade</t>
  </si>
  <si>
    <t>FB0135886</t>
  </si>
  <si>
    <t>escada para descer na carreta</t>
  </si>
  <si>
    <t xml:space="preserve">Facilita na descida e na subida </t>
  </si>
  <si>
    <t>FB0135902</t>
  </si>
  <si>
    <t>Balança no Refeitório</t>
  </si>
  <si>
    <t>Disponibilizar uma balança no refeitório para que os associados que estão em dieta possam pesar a quantidade correta da alimentação.</t>
  </si>
  <si>
    <t>FB0136079</t>
  </si>
  <si>
    <t>Adicionado o carregador de rádio junto ao carregador do tablet na caixa posicionada na linha.</t>
  </si>
  <si>
    <t xml:space="preserve">Adicionar o carregador do radio na caixa que fica na linha das fabrimas que atualmente contem o carregador do tablet </t>
  </si>
  <si>
    <t>FB0136950</t>
  </si>
  <si>
    <t>Alteração lógica de zerar os silos de café verde</t>
  </si>
  <si>
    <t>Hoje conseguimos zerar o silo com qualquer quantidade desde que o sensor esteja apagado, porém no dia 21 de janeiro houve uma falha no sensor do silo 16 onde o mesmo apagou e zeraram ele com aproximadamente 6 tons, depois ao jogar café misturou dois componentes diferentes.
A ideia seria mudar a lógica para permitir que zerasse o silo somente com menos de 1 ton quando o sensor estiver apagado, pois quantidades acima deste valor necessitaria de verificação eletrônica.
Está ideia pode ser executado internamente com nosso técnico eletrônico Igor Santos.</t>
  </si>
  <si>
    <t>FB0137281</t>
  </si>
  <si>
    <t>Apalpador de Cordão</t>
  </si>
  <si>
    <t>Sugiro fazer a replicação do modelo de apalpador do tipo cordão para resolver o café na solda, visto que já é utilizado nas plantas de jundiai e Salvador demonstrando grande eficácia visto que esse é a solução para nossos grandes impactos P18</t>
  </si>
  <si>
    <t>FB0137691</t>
  </si>
  <si>
    <t xml:space="preserve">Troca do conjunto do dobrador de abas inferior </t>
  </si>
  <si>
    <t xml:space="preserve">Realizar a troca do conjunto do dobrador de abas inferior, gerando melhoria evitando a quebra do cilindro, visto que o cilindro rotativo, quebrava com frequência, trocando para um cilindro linear duplo esse problema será solucionado. </t>
  </si>
  <si>
    <t>FB0137791</t>
  </si>
  <si>
    <t xml:space="preserve">colocar espelhos confesso </t>
  </si>
  <si>
    <t xml:space="preserve">Colocar espelhos confessos nos portões onde passamos com as empilhadeiras assim. Temos uma boa visibilidade e colocar dos dois lados ( pesquisei o custo e no mercado livre sai a R$160.00 cada ) </t>
  </si>
  <si>
    <t>FB0137862</t>
  </si>
  <si>
    <t xml:space="preserve">Padronização dos batentes </t>
  </si>
  <si>
    <t>Padronizar os batentes das fabrimas 2 e 3 igual os batentes das fabrimas 4 e 5. Pois os batentes da 4 e 5 são mais reforçados e robustos 
Anexo orçamento</t>
  </si>
  <si>
    <t>FB0137866</t>
  </si>
  <si>
    <t xml:space="preserve">Instalação de sinal de alerta luminoso </t>
  </si>
  <si>
    <t>Colocar um sinal de alerta luminoso no portão de saída do café cru para o almoxarifado. Devido ao movimento de empilhadeira e fluxo de pessoas passando pelo mesmo local</t>
  </si>
  <si>
    <t>FB0137868</t>
  </si>
  <si>
    <t xml:space="preserve">Instalação de sinalização luminosa </t>
  </si>
  <si>
    <t>Instalação de sinalização luminosa no portão do café cru com sensor no portão igual exemplo sugerido na foto anexada a cima.
SHE: Aprovado. Deve ser um sinal sonoro audível e luminoso.</t>
  </si>
  <si>
    <t>FB0138029</t>
  </si>
  <si>
    <t>Alterar café da manhã do adm</t>
  </si>
  <si>
    <t>Alternar um dia do café da manhã especial para pão de queijo e manter  o outro com presunto e queijo como já é.</t>
  </si>
  <si>
    <t>FB0138050</t>
  </si>
  <si>
    <t xml:space="preserve">fazer estrutura para que não pare pó na parede ao lado da fornalha </t>
  </si>
  <si>
    <t>fazer estrutura para que não pare pó na parede ao lado da fornalha
SHE: Aprovado. Sugestão abrir uma MOC e TAP para entender a melhor solução de engenharia.</t>
  </si>
  <si>
    <t>Fazer um claviculário de segurança com as chaves das escadas marinheiro no alarme de incêndio.
SHE: Reprovado claviculário. Desenvolver um sistema de rompimento.  Não pode ser um acesso livre as chaves. Abrir outra idea com o sistema de parecido com o "em caso de emergência quebre aqui".</t>
  </si>
  <si>
    <t>FB0138260</t>
  </si>
  <si>
    <t xml:space="preserve">pressão das correias de arraste </t>
  </si>
  <si>
    <t xml:space="preserve">Incluir no CL a verificação da pressão das correias de arraste das fábricas , alguns  problemas na selagem vertical do pacote , está associada a pressão das correias, onde a manutenção tem que fazer a inspeção e realizar ajustes , se estiver dentro do CL diário , fica mais fácil para a operação identificar problemas relacionados a pressão </t>
  </si>
  <si>
    <t>FB0138274</t>
  </si>
  <si>
    <t xml:space="preserve">retirar limpeza não apta dos colaboradores </t>
  </si>
  <si>
    <t>(LATERAL SILOS DE GRÃO
LATERAL SILOS DE PÓ )
Essas limpezas são apenas as pessoas das brazanitas que realizam essa limpeza com espanador de pó ajustado pra tal altura.</t>
  </si>
  <si>
    <t>FB0138839</t>
  </si>
  <si>
    <t xml:space="preserve">Batente para as gaiolas de reciclagem </t>
  </si>
  <si>
    <t>Batente para evitar as colisões nos alambrados evitando danificações na estrutura 
SHE: aprovado.</t>
  </si>
  <si>
    <t>FB0138873</t>
  </si>
  <si>
    <t xml:space="preserve">Placas de identificação robôs e Strechadeira </t>
  </si>
  <si>
    <t xml:space="preserve">Placas para identificação visual nos robôs Fabrimas 2 e 3, Maq. 4, PKD e Strechadeira para melhor entendimento de visitantes e associados novos
Feito por Fabio Antônio e Carlos Eugênio </t>
  </si>
  <si>
    <t>Carlos E Santos</t>
  </si>
  <si>
    <t>FB0139173</t>
  </si>
  <si>
    <t xml:space="preserve">Robôs </t>
  </si>
  <si>
    <t xml:space="preserve">Sugiro que para facilitar na limpeza do chão do robô ao executar o CIl mensal que possam fornecer um rodo com esponja fixa para limpar o chão e rodo para limpar o chão </t>
  </si>
  <si>
    <t>FB0139192</t>
  </si>
  <si>
    <t xml:space="preserve">Rolete do robô onde fica o acomodador </t>
  </si>
  <si>
    <t xml:space="preserve">Por ser local de difícil acesso acaba que também tem fonte de contaminação e fica difícil de limpar, para facilitar a limpeza gostaria que providenciasse uma escova com cabo para facilitar na limpeza </t>
  </si>
  <si>
    <t>FB0139195</t>
  </si>
  <si>
    <t>cabos da esteira</t>
  </si>
  <si>
    <t>Cabos da esteira sem proteção, podendo colocar proteções.
SHE: Risco baixo. Custo elevado. Para o momento não é interessante esta ideia. Reprovado.</t>
  </si>
  <si>
    <t>Ana Julia Costa Silva</t>
  </si>
  <si>
    <t>FB0139595</t>
  </si>
  <si>
    <t xml:space="preserve">alteração não permitida de velocidade </t>
  </si>
  <si>
    <t>Verificar com a manutenção ou engenharia se seria possível bloquear o parâmetro de aumento velocidade da máquina. Um turno está trabalhando com a máquina em velocidade acima do permitido em todos os dias.</t>
  </si>
  <si>
    <t>A ideia inicial é melhoria ao acesso dos bojos dos moinhos, 1ao 6
Nas imagens a cima vemos a dificuldade dos operadores e da manutenção poder ter acesso a escada 
Todas as escadas marinheiras nos moinhos, estão num local que dificulta o trabalho da manutenção e das limpezas fim de mês
Muitas das vezes o trabalho é a limpeza que é necessário fazer gasta muito tempo por conta da abertura da PT
Dificulta o trabalho da manutenção ao retirar ou remover peças ou motores com vazamento ou sem funcionamento, pior quando precisa subir com peças 
Muitas atividades nos bojo são falha menores como RP, falha nos micro, válvulas de fechamento, mangueira de ar comprimido com vazamento ou necessário fazer limpeza 
Melhoria ( fazer uma plataforma onde podemos ter o acesso mais Rápido e fácil dos bojos ou fazer uma escada usando a plataforma das roscas de transporte) vimos um local onde poderia ter essa escada assim como outros locais ( com isso fazer a retirada das escadas marinheiras dos moinhos 1ao 6)</t>
  </si>
  <si>
    <t>FB0140119</t>
  </si>
  <si>
    <t>As baterias são seladas e liberadas para estarem em locais fechados</t>
  </si>
  <si>
    <t>FB0140133</t>
  </si>
  <si>
    <t xml:space="preserve">quadro de  lototo para os elevadores </t>
  </si>
  <si>
    <t xml:space="preserve">Um quadro de bloqueio para os elevadores da moagem ,facilitando o trabalho da manutençãoe dos operadores </t>
  </si>
  <si>
    <t>FB0140292</t>
  </si>
  <si>
    <t>velocidade correia Fab 5</t>
  </si>
  <si>
    <t xml:space="preserve">Velocidade da correia foi alterado estava 55% e foi para 52%.
Manutentor alterou parâmetro para melhor desempenho. Ajustar range entre 50% e 55%
</t>
  </si>
  <si>
    <t>FB0140345</t>
  </si>
  <si>
    <t>carrinho gaiola menor</t>
  </si>
  <si>
    <t xml:space="preserve">Carrinho gaiola,para colocar caixa de papelão usada para start dos torradores </t>
  </si>
  <si>
    <t>FB0140646</t>
  </si>
  <si>
    <t xml:space="preserve">Instalação de televisão no container </t>
  </si>
  <si>
    <t xml:space="preserve">Instalação da televisão que se encontra sem uso no ADM para o container de manufatura, especificamente encima do armario de MDF </t>
  </si>
  <si>
    <t>FB0140765</t>
  </si>
  <si>
    <t>colocar uma tomada</t>
  </si>
  <si>
    <t xml:space="preserve">Colocar tomada próximo ao Nederman </t>
  </si>
  <si>
    <t>FB0140775</t>
  </si>
  <si>
    <t xml:space="preserve">Esteira 9 Fardos </t>
  </si>
  <si>
    <t>Esteira 9 transportes de fardos ao passar fardo, no sensor da etiquetadora a esteira não para e fica saindo muitas etiquetas e cai no chão, mesmo mudando a posição do sensor da etiqueta, a minha sugestão é colocar um sensor no começo da esteira para a esteira parar e não ficar no rumo do sensor da etiquetadora</t>
  </si>
  <si>
    <t>FB0140902</t>
  </si>
  <si>
    <t>lubrificação da válvula do testador de vácuo</t>
  </si>
  <si>
    <t>Fazer lubrificação mensal na válvula do testador de vácuo</t>
  </si>
  <si>
    <t>FB0141630</t>
  </si>
  <si>
    <t xml:space="preserve">Padronização das conexões e mangueiras de todos os moinhos </t>
  </si>
  <si>
    <t xml:space="preserve">Padronização das conexões e mangueiras de todos os moinhos 
Será necessario a compra de conexões rosca 3/8, com entrada para mangueira 3/8, Ao todo serão 150 conexões, 50 metros de mangueira 3/8 para agua.
Programar um mecânico 1 turno para realização da troca 
</t>
  </si>
  <si>
    <t>FB0142655</t>
  </si>
  <si>
    <t>Leite no café da tarde</t>
  </si>
  <si>
    <t>Ideia do Ednaldo: Ter a opção de leite também no café da tarde, ao invés de ter somente a opção de suco.</t>
  </si>
  <si>
    <t>FB0142828</t>
  </si>
  <si>
    <t>CABIDE PARA ROUPAS</t>
  </si>
  <si>
    <t xml:space="preserve">Instalar cabides para roupas, dentro do box. Não tem onde pendurar a roupa suja e a toalha. </t>
  </si>
  <si>
    <t>FB0142829</t>
  </si>
  <si>
    <t>TAPETE ANTIDERRAPANTE</t>
  </si>
  <si>
    <t xml:space="preserve">Verificar possibilidade de adquirir um tapete antiderrapante para a área dos chuveiros. O tapete atual é de plástico e quando molha o chão ele fica extremamete escorregadio. </t>
  </si>
  <si>
    <t>*Ideia da Jéssica Begalli - Segurpro*
Atualmente, a unidade realiza o gerenciamento completo de seus resíduos por meio de empresa especializada, não utilizando o serviço público de coleta de lixo nem encaminhando resíduos para aterro sanitário municipal.
Diante disso, sugere-se iniciar tratativas com a prefeitura de Piumhi para solicitar a isenção da taxa de lixo cobrada na conta de água, apresentando documentação comprobatória do correto descarte ambiental.
A ação está alinhada com práticas de sustentabilidade e gestão eficiente de custos, além de evitar pagamento indevido por um serviço não utilizado.</t>
  </si>
  <si>
    <t>FB0143318</t>
  </si>
  <si>
    <t xml:space="preserve">colocar botão de emergência </t>
  </si>
  <si>
    <t>Falta um botão de emergência caso necessite em alguma emergência. Único meio de parar a esteira é nos botões de emergência da encaixotadora que fica a mais de 3 metros da esteira</t>
  </si>
  <si>
    <t>FB0143447</t>
  </si>
  <si>
    <t xml:space="preserve">Mudança da posição da malha da peneira </t>
  </si>
  <si>
    <t>Hoje as abas da peneira vibratória estão na horizontal, isso faz com que acumule café nas laterais, duas vezes por semana é feita a limpeza e todo acumulo de café vai para o descarte. Minha proposta é colocar as abas verticais ou o máximo possível  para durante o processo não acumular tanto café e ao abrir para realizar a limpeza reduzir o descarte. 
DICA: ADIÇÃO DA CHAPA MÓVEL PARA FACILITAR LIMPEZA E EVITAR O DESCARTE DE CAFÉ, SERÁ ANEXADO UMA IMAGEM PARA FACILITAR A COMPREEÇÃO.</t>
  </si>
  <si>
    <t xml:space="preserve">                                     </t>
  </si>
  <si>
    <t>FB0143448</t>
  </si>
  <si>
    <t>Reprocesso do café das peneiras rotativas</t>
  </si>
  <si>
    <t xml:space="preserve">Atualmente os carrinhos de rejeito da peneira rotativa são de aço carbono. A ideia é tornar os carrinhos de aço inox e reprocessa-los. 
Em JDI este café já é reprocessado. </t>
  </si>
  <si>
    <t>FB0143722</t>
  </si>
  <si>
    <t>pontos para ancoragem ( distribuidores 1-2e3 )</t>
  </si>
  <si>
    <t>Ao realizar limpeza , tem uma dificuldade para fazer a ancoragem do talabarte , utilizando pontos não apropriados, usando um ferro q prende os distribuidores, podendo vir a danificar , sendo que os bojos dos distribuidores, são acima das grades de proteções, a ideia seria colocar alças ou barras de ferro onde fica seguro e acessível para fazer essa ancoragem 
She irá realizar o orçamento com estimativa de R$20.000</t>
  </si>
  <si>
    <t>10. DISTRIBUIDORES</t>
  </si>
  <si>
    <t>FB0143738</t>
  </si>
  <si>
    <t xml:space="preserve">acompanhamento das preventivas das fabrimas  </t>
  </si>
  <si>
    <t xml:space="preserve">O time fica  sem informação das ações feitas ou aplicadas nas fabrimas na atividade da manutenção preventiva, ficaria mais claro se tivesse na linha ou no contêiner as ordens desse serviço , para o time operacional ficar mais informado sobre as ações e melhorias aplicadas </t>
  </si>
  <si>
    <t>FB0143894</t>
  </si>
  <si>
    <t>Smart Cablevey</t>
  </si>
  <si>
    <t>Deixar o próprio cablevey se auto ajustar quanto a capacidade de acordo com a corrente de trabalho.
Será utilizado um servo com feedback para realizar a melhoria, fazendo o ajuste de corrente do motor de acordo com a vazão
0 Quebras
Tempo de máquina rodando maior
Melhorar o GE
Custo estimado de 15-20 mil por cablevey.
Foco inicial 2.1 e 2.2
Integrantes:
Igor Sousa
Fabio Coelho
André Costa</t>
  </si>
  <si>
    <t>03. CABLEVEY</t>
  </si>
  <si>
    <t>FB0144237</t>
  </si>
  <si>
    <t>PPRO digital.</t>
  </si>
  <si>
    <t>Passar para o digital facilitando as informações.</t>
  </si>
  <si>
    <t>Alice Morais</t>
  </si>
  <si>
    <t>FB0144238</t>
  </si>
  <si>
    <t xml:space="preserve">tendência com senha </t>
  </si>
  <si>
    <t>Colocar senha no parâmetro de tendência para evitarem de fazer alterações.</t>
  </si>
  <si>
    <t>FB0144885</t>
  </si>
  <si>
    <t xml:space="preserve">Melhoria na caida da pelicula </t>
  </si>
  <si>
    <t xml:space="preserve">Pessoas envolvidas: Arthur, Lucas Obrien, Lucas Carvalho, Jader Costa
Sera necessario avaliação do Tiago Carvalho em loco para validação da ideia.
Será feito uma mudança no bocal de saida da pelicula na rosca de pelicula dos torradores.
Inicialmente a ideia e diminuir o bocal e fazer uma nova grade para que não haja risco de obstrução da rosca por esquecimento de troca da caçamba.
A confecção sera feita internamente, com custos minimos de tempo de manutenção.
 </t>
  </si>
  <si>
    <t>FB0144987</t>
  </si>
  <si>
    <t>melhoria para o MOP</t>
  </si>
  <si>
    <t xml:space="preserve">Incluir opção pra digitação pra busca, facilitando justificar as paradas mais rápido </t>
  </si>
  <si>
    <t>FB0145106</t>
  </si>
  <si>
    <t xml:space="preserve">Programa de Aceleração de Performance e Liderança Estratégica </t>
  </si>
  <si>
    <t xml:space="preserve">Implementar um programa de mentoria e desenvolvimento para analistas e assistentes focado em competências críticas para o próximo nível de crescimento da empresa. O programa abrange:
Eficiência Operacional: Gestão de tempo, produtividade e simplificação de processos.
Inteligência Comportamental: Gestão emocional, resiliência e comunicação assertiva.
Alinhamento Estratégico: Visão ampla do negócio, conectando a execução diária à estratégia macro da companhia.
Qual problema essa ideia resolve?
O programa visa reduzir o "ruído" e o retrabalho causados por falhas de comunicação e processos complexos. Combate o esgotamento através da gestão emocional, transformando colaboradores operacionais em profissionais com visão de dono e foco em resultados estratégicos. </t>
  </si>
  <si>
    <t>FB0145184</t>
  </si>
  <si>
    <t xml:space="preserve">Vídeo informativo preenchimento de formulário </t>
  </si>
  <si>
    <t xml:space="preserve">Minha idade para melhores informações , sobre o preenchimento de formulário . Fazer 
Vídeo informativo para , o melhor preenchimento de formulário. Isso ajudaria os operadores  novos na linha.
 fazendo isso teremos maio aproveito das informações . 
aprendizado mas rápido  ,pois  o operador pode assistir e estuda o vídeo na dúvida . </t>
  </si>
  <si>
    <t>Abner Paiva</t>
  </si>
  <si>
    <t>FB0145185</t>
  </si>
  <si>
    <t xml:space="preserve">adicionar uma ferramenta para medir a quantidade da cola </t>
  </si>
  <si>
    <t xml:space="preserve">Adicionar uma ferramenta que facilita a medição da quantidade da cola.
Pode ser um pouco maior ou até as marcas necessárias da quantidade de cola. 
A foto do desenho é ilustrativa não tenho o tamanho exato.
Quando um lado encostar na cola o outro vai mostrar a quantidade </t>
  </si>
  <si>
    <t>Ilbert Caetano</t>
  </si>
  <si>
    <t>FB0145309</t>
  </si>
  <si>
    <t>Moegas de reprocesso torradores 1 e 2</t>
  </si>
  <si>
    <t>Moegas proliferando mofos por ficarem muito tempo fechadas!
Ideia de fazer telas iguais as moegas de reprocesso dos moinhos 1 e 5
Assim podemos manter abertas e não criar mais mofos.</t>
  </si>
  <si>
    <t>FB0145581</t>
  </si>
  <si>
    <t>ESPELHO NA BARREIRA</t>
  </si>
  <si>
    <t>Verificar a possibilidade de instalar outro espelho na barreira sanitária principal, conforme era antes da reforma. Em dias de DDSHEQ, o espelho atual, por ser pequeno, não atende à demanda, pois são muitas pessoas precisando utilizá-lo ao mesmo tempo, causando demora na entrada para a produção.</t>
  </si>
  <si>
    <t>FB0145947</t>
  </si>
  <si>
    <t xml:space="preserve">correia de arraste do filme PKD </t>
  </si>
  <si>
    <t>Troca (adaptação ) da correia de tração do filme por corrente de comando.</t>
  </si>
  <si>
    <t>FB0146643</t>
  </si>
  <si>
    <t xml:space="preserve">lógica da esteira alpino </t>
  </si>
  <si>
    <t>Avaliar possibilidade de mudança na comunicação dos sensores do alpino com a encaixotadora para quando tiver pacote virado no twister  não aja acúmulo nas esteiras alpino .
IDEIA : Patrick Pessoa e Wesley Junior 
ASSUNTO DISCUTIDO: Moisés Costa e Giovana Biffarate</t>
  </si>
  <si>
    <t>FB0146658</t>
  </si>
  <si>
    <t>Ferramenta para remoção de embalagens derretidas dos mordentes</t>
  </si>
  <si>
    <t xml:space="preserve">Ideia para uma ferramenta para remoção de embalagens derretidas, possivelmente uma espátula um pouco mais espessa para que não se entorte.
A referência seria uma parte de uma tesoura (abre a tesoura em dois pedaços e usa uma parte só). </t>
  </si>
  <si>
    <t>FB0146863</t>
  </si>
  <si>
    <t>Implementação de uma mesa móvel com rodas para auxiliar a formação e apoio de fardos durante paradas operacionais do robô.</t>
  </si>
  <si>
    <t>Propõe-se a adição de uma mesa com rodas, de fácil movimentação e posicionamento, a ser utilizada como apoio na realização de fardos quando ocorrerem paradas do robô. A mesa permitirá melhor ergonomia aos operadores, maior estabilidade dos fardos durante o processo manual e maior agilidade na retomada da operação.</t>
  </si>
  <si>
    <t>FB0147430</t>
  </si>
  <si>
    <t>Indicador luminoso</t>
  </si>
  <si>
    <t>Instalar um pequeno painel com luzes vermelho e verde, para que quando o operador finalizar a rotina de centerline ele aperta o botão verde ou vermelho, assim toda a fábrica terá visibilidade como estamos com o gerenciamento da ferramenta, caso esteja com a luz vermelha acionado, ja temos que ter o plano de ação para tão logo podermos voltar na condição ideal e trabalhar com a Luz verde acionado.</t>
  </si>
  <si>
    <t>Eliezer Silva</t>
  </si>
  <si>
    <t>FB0147590</t>
  </si>
  <si>
    <t xml:space="preserve">Datador em alto desempenho </t>
  </si>
  <si>
    <t>O atual codificador das fabrimas possui uma função de melhoria que faz a leitura automática da codificação. Essa função de impressão tem uma das finalidades de detectar falha na codificação, garantindo segurança do produto, podendo evitar novos incidentes na codificação. A ideia seria implementar esse sistema do codificador (SmartDate x45) para assegurar maior assertividade do que está sendo inserido no pacote (se tem falha, erro de números, borrado ...)</t>
  </si>
  <si>
    <t>Caio Ferreira</t>
  </si>
  <si>
    <t>Fio solto no chão 
Manutenção: Ideia já está no radar da Manutenção aguardando uma brecha para dar inicio a execução</t>
  </si>
  <si>
    <t>FB0147934</t>
  </si>
  <si>
    <t>Melhoria no fluxo de aprovação de químicos</t>
  </si>
  <si>
    <t xml:space="preserve">Atualmente, o fluxo de aprovação, além de ser meio lento em alguns processos, gera retrabalho quando uma área reprova por uma simples divergência, como, por exemplo, a descrição geral de uso do produto, enquanto o setor solicita o uso específico do mesmo.
SHE: Para o processo de produtos químicos realmente não tem um prazo definido pois temos várias áreas que devem analisar e aprovar o produto, sugiro se programarem com antecedência para cadastro de um novo produto para que não tenha impacto na programação do requisitante. Acredito de quando se refere ao retrabalho geralmente está atribuído a algum risco de saúde, segurança ou qualidade que inviabiliza o uso do produto. Inflamabilidade, potencial carcinogênico, contaminação do produto não pode ser consideradas “simples divergências”. Quando perguntamos qual a “finalidade do produto” isso quer dizer qual o uso específico do produto, não podemos trabalhar com com um produto inflamável em um ambiente com alta temperatura, principalmente se estiver acima do ponto de fulgor.
Com essa reprovação, todo o fluxo que já havia sido feito anteriormente é perdido, sendo necessário preencher novamente os dados e enviá-los para aprovação de cada setor, mesmo que já tenham sido aprovados anteriormente.
SHE: São 4 áreas que fazem a análise, se não atende ao requisito de 1 área somente o documento torna-se invalido. Deve preencher novamente pois no caso de reprovação com sugestões de alteração, será um novo documento a ser avaliado, por isso deve-se requisitar a avaliação do novo documento. Além de em caso de auditoria não terá rastreabilidade. Mesmo que qualidade, meio ambiente e segurança aprovarem, se tiver alguma não conformidade o produto não entra. Ou atente 100% das áreas ou o produto não entra.
Além disso, o envio de documentos como FDS, FDT e certificado da NSF não possui campos específicos para todos dentro do formulário, havendo apenas o campo para envio da FDS.
SHE: De fato, não tem o campo pois precisamos somente da FDS. Este procedimento foi elaborado no passado pelas 4 áreas e entendemos que hoje necessitamos somente de FDS. Se tem alguma área pedindo mais informações pode ser que talvez o uso ou as informações do requerimento não estejam claras. Para Meio Ambiente, Segurança e Saúde precisamos somente o que está na FDS, se não tem não FDS geralmente reprovamos e sugerimos que entre em contato com o fornecedor e complete as informações. Em casos extremos sugerimos a seleção de outros produto.
IDEIA:
Melhoria no fluxo do processo: se uma área já aprovou, não é necessário passar por ela novamente para aprovação, visto que o motivo da reprovação foi algo simples.
SHE: Não podemos alterar desta forma, conforme expliquei acima tem que atender as 4 áreas, caso contrário o documento não é válido.
Permitir a edição do formulário enviado anteriormente, de modo que não seja necessário preencher todo o formulário novamente, mas apenas editar o que gerou a reprovação, mantendo o fluxo já existente no processo.
SHE: A possibilidade de editar um formulário já enviado compromete a rastreabilidade das reprovações ocorridas, além de permitir alterações livres nas informações originalmente registradas. Isso acaba por retirar a confiabilidade e a credibilidade de todo o processo de rastreabilidade e controle das aprovações.
</t>
  </si>
  <si>
    <t>Matheus Rodrigues</t>
  </si>
  <si>
    <t>FB0148572</t>
  </si>
  <si>
    <t xml:space="preserve">Suporte para peça de ajuda na limpeza das peneiras </t>
  </si>
  <si>
    <t>Existe uma peça que atualmente fica no container utilizado para a limpeza das peneiras. Essa peça necessita de um suporte adequado para permanecer na área de uso, evitando o risco de queda e garantindo a padronização conforme os princípios do 5S</t>
  </si>
  <si>
    <t>FB0149012</t>
  </si>
  <si>
    <t>Compra de mais um exaustor para trabalhos em espaço confinado</t>
  </si>
  <si>
    <t>Compra de mais um exaustor para trabalhos em espaço confinado (em alguns trabalhos necessitamos de um exaustor e um insulflador para retirada dos gases do espaço, hj usamos o ventilador grande porem ele é muito forte e joga muita particula de poeira, atrapalhando algumas vezes o trabalho,) a ideia consite em comprar mais um do mesmo exaustor que temos para fazermos a utilização dele como insulflador</t>
  </si>
  <si>
    <t>FB0149016</t>
  </si>
  <si>
    <t>Troca e padronização das valvulas dos inclinometros do sistema do cablevey</t>
  </si>
  <si>
    <t>Troca e padronização das valvulas dos inclinometros do sistema do cablevey (hoje temos varios problemas de valvulas travando e dando passagem de ar nos inclinometros, porem a valvula original foi descontinuada e não temos em estoque, a ideia consiste em fazer o mapeamento da quantidade de valvulas e conexões para que sejam compradas e trocadas) as valvulas devem ser de uma marca que conseguimos comprar com mais facilidade Ex: Festo ou SMC.</t>
  </si>
  <si>
    <t>FB0149024</t>
  </si>
  <si>
    <t xml:space="preserve">Adicionar leite zero lactose nas opções para refeitorio </t>
  </si>
  <si>
    <t>Adicionar a opção de leite zero lactose no refeitório, visando atender colaboradores com intolerância à lactose ou que optem por esse tipo de produto. A iniciativa promove inclusão alimentar, maior bem-estar e diversidade nas opções oferecidas, demonstrando cuidado com a saúde e as necessidades individuais dos usuários do refeitório.</t>
  </si>
  <si>
    <t>FB0149187</t>
  </si>
  <si>
    <t xml:space="preserve">codificador de pacote da  PKD </t>
  </si>
  <si>
    <t xml:space="preserve">Toda vez que dá queda de energia o codificador desliga . Talvez o operador esquece de ligar ele no momento que se reinicia a máquina, daí passa vários pacotes sem codificação gerando retrabalho </t>
  </si>
  <si>
    <t>FB0149202</t>
  </si>
  <si>
    <t>codificador laser da PKD toda vez que acontece queda de energia ele não liga automático.</t>
  </si>
  <si>
    <t>O codificador de pacotes da PKD toda vez que da uma queda de energia, ele  não liga automático. As vezes o operador, esquece de  ligar ele novamente então passa pacotes sem data . Gerando retrabalho e custo de embalagem. A minha sugestão é a seguinte colocar um sensor nele para que ele mande mensagem na máquina e assim a máquina não liga enquanto não retirar a falha. 
Manutenção: " Foi comprado o Nobreak, aguardando uma brecha para realiza instalação"</t>
  </si>
  <si>
    <t>FB0149384</t>
  </si>
  <si>
    <t>INSTALAÇÃO DE ILUMINAÇÃO NA SALA DOS QUIMICOS</t>
  </si>
  <si>
    <t>INSTALAÇÃO DE ILUMINAÇÃO NA SALA DOS QUIMICOS, COM LAMPADA ANTE EXPOSÃO!
FOI VERIFICADO COM GUILHERME ESSA IDEIA, SERÁ POSSIVEL FOR PASSADO A FIAÇÃO POR FORA DA SALA, E FEITO UM BURACO SOMENTE PARA LAMPADA PELA PAREDE, NA PAREDE VOLTADA A AREA DO CAMINHOES, VERIFICAR COM ELETRONICO OS MATERIAS NECESSARIOS.
Aprovado por SHE.
Manutenção:" Ideia esta sendo relizada"</t>
  </si>
  <si>
    <t>FB0149417</t>
  </si>
  <si>
    <t>Possível melhoria em embalagem plástica raumak</t>
  </si>
  <si>
    <t>Comprar embalagem plástica para Raumak mais pesadas, pois, no tamanho maior pois quanto maior menos tempo precisa trocar a bobina. Melhor a produtividade. A mesma embalagem vinha 40kg há muito tempo agora está recorrente as de 30kg aproximado</t>
  </si>
  <si>
    <t>FB0150385</t>
  </si>
  <si>
    <t>Melhoria na logica do testador de vacuo pkd</t>
  </si>
  <si>
    <t>Integrantes: Arthur e Igor Souza,
Melhoria na logica do testador de vacuo pkd. Consiste em implementar um novo travamento em que o freio antes do testador fique atuado quando não houver pacote na esteira, para que sempre o ciclo de saida dos pacotes acumulados seja sempre igual e não passe pacotes avulsos causando falha nos testes de vacuo
(a melhoria foi implementada dia 12/05 esta em acompanhamento para estratificação de resultados)</t>
  </si>
  <si>
    <t>FB0150542</t>
  </si>
  <si>
    <t xml:space="preserve">Melhoria na tampa próximo ao “funil” do esteirao de Cavaco </t>
  </si>
  <si>
    <t>Criar uma porta na tampa que prende próximo ao Esteirão, para facilitar a limpeza. Pois a tampa é feita de aço extremamente pesada, somada ao peso do pó que se acumula deve pesar aproximadamente 50kg pra ser retirado do alto e na mão, gerando uma condição insegura para quem realiza a atividade tanto ergonômica quanto aumentando o risco de acidente e danos materiais caso ocorra da mesma cair.
Obs:É necessário a retirada da tampa toda vez que realizar a limpeza do esteirao pois é um ponto crítico de acúmulo de pó que pode gerar travamento e quebra no equipamento. 
SHE: Para a área de SHE, a opção mais adequada é seccionar a tampa, a fim de facilitar o processo de limpeza. Por outro lado, a alternativa de instalar uma porta apresenta um risco elevado de que ela permaneça aberta indevidamente.</t>
  </si>
  <si>
    <t>FB0150729</t>
  </si>
  <si>
    <t>Armadilhas Luminosas Na Logística/Entrada Principal - Adicionar tomadas</t>
  </si>
  <si>
    <t>Na ultima auditoria Interna a Taina sugeriu adicionar novas armadilhas luminosas próxima as portas e portão, tanto da logística quanto da entrada principal. Precisamos colocar tomadas para assim instalar as armadilhas.</t>
  </si>
  <si>
    <t>FB0151505</t>
  </si>
  <si>
    <t>emenda perfeita</t>
  </si>
  <si>
    <t xml:space="preserve">criar um suporte movel no suporte que segura a bobina para realizar a emenda da bobina assim evitando o desperdicio de embalagem </t>
  </si>
  <si>
    <t>Alex Barbara</t>
  </si>
  <si>
    <t>FB0151722</t>
  </si>
  <si>
    <t>troca dos acrilicos da camara de vacuo pkd</t>
  </si>
  <si>
    <t xml:space="preserve">troca dos acrilicos da camara de vacuo pkd, para melhor visualização dos pacotes </t>
  </si>
  <si>
    <t>FB0151723</t>
  </si>
  <si>
    <t>Troca dos vacometros da pkd</t>
  </si>
  <si>
    <t xml:space="preserve">Criar um Padrão de vacometro para utilização na Pkd, os que foram instalados, estao com fita isolante para tampar um furo proveniente de uma valvula de posição que ele possuia, porem se soltava com a produção da maquina </t>
  </si>
  <si>
    <t>FB0151957</t>
  </si>
  <si>
    <t xml:space="preserve">Controle para Tv no administrativo </t>
  </si>
  <si>
    <t>A TV do setor administrativo não possui controle remoto. Sugiro a aquisição de um, pois ela é utilizada para o acompanhamento da produção.</t>
  </si>
  <si>
    <t>FB0152013</t>
  </si>
  <si>
    <t xml:space="preserve">uma mesa no lugar da lixeira </t>
  </si>
  <si>
    <t xml:space="preserve">Minha ideia é remover remover as lixeiras para outro lado e coloca um mesa na Fabrima 5 pois assim temos espaço para fazer as análises . </t>
  </si>
  <si>
    <t>FB0152268</t>
  </si>
  <si>
    <t>PRESENÇA PREMIADA</t>
  </si>
  <si>
    <t>A Brasanitas está com um programa muito legal, de presença premiada. Todo colaborador que não tiver falta (justificada ou injustificada) e atestado, ganham 200,00 no V.A. O JDE poderia avaliar de fazer algum programa parecido, isso reduz muito o absenteísmo e engaja bastante os colaboradores.</t>
  </si>
  <si>
    <t>FB0152270</t>
  </si>
  <si>
    <t>Facilitador de abertura de chamados</t>
  </si>
  <si>
    <t>Problema: Muito custo operacional na abertura e acompanhamento dos chamados realizados para colaboradores pelo setor de RH.
Solução direta: Disponibilização de tablet e computador para preenchimento por parte dos colaboradores.
Execução: Tutorial de como abrir e preencher o chamado em formato físico e em vídeo, a ideia é disponibilizar em 1 tablet fixo na operação, 1 computador fixo na operação e outro tablet no RH para aqueles que precisarem de auxílio. (Ja possui um tablet no RH que pode ser disponibilizado, já existe o computador na estação digital, já foi conversado com gestor sobre a possibilidade de manter um tablet na operação.
Objetivo: a ideia é que os gestores acompanhem junto aos colaboradores a resolução e desdobramento dos chamados, e que, o e-mail referente ás solicitações, seja checado regularmente, garantindo um bom tempo de resposta e solução para os problemas identificados relacionados ao RH.</t>
  </si>
  <si>
    <t>Weverton Rodrigues</t>
  </si>
  <si>
    <t>09.10 Escritórios administrativos</t>
  </si>
  <si>
    <t>FB0152430</t>
  </si>
  <si>
    <t>Instalação de seccionadora individual para uso da manivela manual durante emergências na torradora.</t>
  </si>
  <si>
    <t>Instalação de seccionadora individual para uso da manivela manual durante emergências no torrador. Esta ação garantirá que os operadores do torrador possam realizar o procedimento de uso da manivela em caso de emergência, sem a necessidade de chamar ou aguardar um eletrônico.</t>
  </si>
  <si>
    <t>FB0152719</t>
  </si>
  <si>
    <t xml:space="preserve">Instalação de prendedores para as fornalhas  </t>
  </si>
  <si>
    <t xml:space="preserve">Atualmente, os prendedores de vassouras e rodos das fornalhas estão localizados longe do ponto onde as ferramentas são utilizadas. Portanto, seria ideal a instalação de novos prendedores próximos às caçambas de películas de café, visando melhorar a organização da área. Só precisaria dos prendedores que o almoxarifado tem em estoque e um mecânico para parafusar </t>
  </si>
  <si>
    <t>08. BIOMASSA</t>
  </si>
  <si>
    <t>FB0152795</t>
  </si>
  <si>
    <t>Café do CGC contado duas vezes.</t>
  </si>
  <si>
    <t>Criar uma ferramenta para raspar ou bater esse café grudado. Esse café é pesado duas x.</t>
  </si>
  <si>
    <t>Bruno Resende</t>
  </si>
  <si>
    <t>FB0152922</t>
  </si>
  <si>
    <t>a escada grande da PKD.</t>
  </si>
  <si>
    <t>Todas as áreas pega leva emprestada e nem sempre devolve. Quando vira pacote no disco do alpino precisamos dela porque é a única que dá da altura no alpino . A sugestão é. Que trancamos ela  e a chave fica com o operador de cada turno assim sabemos quem pegou. Fica mais fácil de localizar e pedir a devolução.</t>
  </si>
  <si>
    <t>FB0153239</t>
  </si>
  <si>
    <t>carrinho reserva para o detector de metal</t>
  </si>
  <si>
    <t>Carrinho de reprocesso reserva para o detector de metal</t>
  </si>
  <si>
    <t>FB0153280</t>
  </si>
  <si>
    <t>Criação do palete de RO</t>
  </si>
  <si>
    <t>Criação do palete de RO.
Hoje temos problemas do operador nao pesar as bobinas de RO com a criação do palete de RO ao lado da balança esse problema tende a diminuir.</t>
  </si>
  <si>
    <t>FB0153364</t>
  </si>
  <si>
    <t xml:space="preserve">Redução da saída de café das bicas </t>
  </si>
  <si>
    <t>A proposta é substituir o mangote por um “funil” metálico pois assim reduziríamos o fluxo de café e consequentemente evitaríamos a poeira suspensa e derramamento de café na parte da plataforma que fica as rodas da carreta.
Temos no galpão 3 o material necessário para execução da ideia.</t>
  </si>
  <si>
    <t>FB0153880</t>
  </si>
  <si>
    <t>Criação de bancada exclusiva para testes de motores</t>
  </si>
  <si>
    <t>Seria necessario a criação de uma bancada especifica e isolada para realização de teste em motores na oficina de manutenção, hj temos um painel de testes porem, nao conseguimos testar alguns motores com ele, e tbm o espaço para os testes e ocupado por outras coisas e não e especifico parar esse motivo
Sera necessario a avaliação de um eletronico para a adequação e consolidação de como seria feito essa bancada.</t>
  </si>
  <si>
    <t>FB0153915</t>
  </si>
  <si>
    <t>empurrador de caixa(robô)</t>
  </si>
  <si>
    <t xml:space="preserve">Acrescentar na árvore de perca ,empurrador de caixa do robô </t>
  </si>
  <si>
    <t>FB0154141</t>
  </si>
  <si>
    <t xml:space="preserve">carrinho para bobina pequena  para PKD </t>
  </si>
  <si>
    <t xml:space="preserve">Carrinho para pegar bobina menores  na PKD, pois quando a troca de produto dos carrinhos das fabrimas tá ocupado vira um caos </t>
  </si>
  <si>
    <t>FB0154235</t>
  </si>
  <si>
    <t>TORNEIRA COM ACIONAMENTO AUTOMÁTICO</t>
  </si>
  <si>
    <t xml:space="preserve">Ao realizar a troca da torneira da barreira sanitária da manutenção, instalar uma de acionamento automático igual dos vestiários. A torneira utilizada atualmente, fica acionando toda vez que passamos na frente e isso causa um gasto desnecessário de água, ou trocar um modelo para uma que o sensor seja no bico da torneira. </t>
  </si>
  <si>
    <t>FB0154244</t>
  </si>
  <si>
    <t>Melhoria Para esvaziar Tanque de água Torrador 01</t>
  </si>
  <si>
    <t xml:space="preserve">Toda Atuação para esvaziar tanque de água do torrador 01 ela precisa ser feita retirando toda água em um carrinho de inox porém devido a estrutura do torrador não conseguimos colocar o carrinho abaixo do dreno 100%. A ideia que melhor nos atende para não gerar tanto impacto de trabalho seria Adicionar Um JOELHO DE 90° na saída do Dreno, assim ficaria mais fácil e ágil para retirada da água do tanque e não geraria tanto transtorno para time de manufatura e brasanita de limpeza da Área </t>
  </si>
  <si>
    <t>FB0154266</t>
  </si>
  <si>
    <t>Projeto de Melhoria para YIELD  torrador 02</t>
  </si>
  <si>
    <t xml:space="preserve">Projeto de melhoria para torrador 02 da troca da válvula rotativa por RP ( Gaveta ). Hoje atualmente o yield do torrador 01 tem mais referência de resultados positivos do que torrador 02. OBS: Hoje no torrador 01 devido ser Gaveta ela é 100% vedada garantindo que quando o exaustor faz a exaustão para puxar o café para balança faz com que quando atingir o ventilar máximo em 60HZ e sendo gaveta garanti que não ocorra passagem de ar e não puxe a balança na interferência da pesagem e cálculo do YIELD, como no torrador 02 é válvula rotativa e ao atingir o ventilar na velocidade máxima de 60HZ pode ser que ele puxe a balança devido ser válvula rotativa dando passagem do ar e interferindo nas pesagem das torra e no cálculo do YIELD, lembrando que o torrador 02 ele é sempre mais baixo que o torrador 01 em relação a resultados. A ideia é replicar a gaveta igual do torrador 01 para o torrador 02 para eliminar essas perdas que temos, fotos ilustradas acima para melhor entender.
</t>
  </si>
  <si>
    <t>FB0154427</t>
  </si>
  <si>
    <t xml:space="preserve">Carregamento de café a granel </t>
  </si>
  <si>
    <t>Realizar uma melhoria para conseguir o carregamento de café a granel, hoje temos dificuldades para devolver café quando encontrado algum contaminante ou fora da especificação após o descarregamento.
A ideia é retornar o café no elevador 09 diretamente para a carreta, adaptar uma bica com registro na rosca para conseguir direcionar o café para a carreta.</t>
  </si>
  <si>
    <t>FB0154434</t>
  </si>
  <si>
    <t xml:space="preserve">depósito de cola do coleiro sem marcação </t>
  </si>
  <si>
    <t>O depósito de cola do coleiro Fabrima 02 e 03 não tem nenhuma marcação que especifica se tem a quantidade de cola certa faltando ou sobrando cola</t>
  </si>
  <si>
    <t>Daniela Alves</t>
  </si>
  <si>
    <t>FB0154446</t>
  </si>
  <si>
    <t>DOAÇÃO DE TUBETES DE PAPELÃO</t>
  </si>
  <si>
    <t xml:space="preserve">Boa parte do nosso descarte de papelão são tubetes de embalagem, tentamos uma logística reversa com o fornecedor, porém não tivemos sucesso por eles terem que pagar o transporte desse material.  
Pensamos na possibilidade de realizar a doação desse material, para a empresa de reciclagem que temos em Piumhi, teriamos uma redução no nosso descarte desse material, tendo em vista que a venda não é tão vantajosa para a JDE.
</t>
  </si>
  <si>
    <t>FB0154804</t>
  </si>
  <si>
    <t>melhoria   CIL</t>
  </si>
  <si>
    <t xml:space="preserve">Limpeza no sensor de apara </t>
  </si>
  <si>
    <t>Atualmente, ocorrem diversas paradas de máquina causadas por portas mal fechadas ou sensores magnéticos desalinhados. Em muitos casos, a identificação da porta responsável pela falha demanda tempo e requer a intervenção da equipe de manutenção.
Como melhoria, propõe-se a substituição dos sensores magnéticos atuais dos equipamentos Fabrima e Raumak por modelos com indicação visual por LED. Dessa forma, os operadores poderão identificar rapidamente qual porta está aberta, parcialmente aberta ou com problema de alinhamento, sem a necessidade imediata de acionar a manutenção.
A implementação inicial será realizada na Linha 5, com o objetivo de validar os resultados obtidos. Após a comprovação dos benefícios, a solução poderá ser replicada para as demais linhas da unidade.</t>
  </si>
  <si>
    <t>FB0154917</t>
  </si>
  <si>
    <t>Substituição dos sensores capacitivos IFM dos transportes de café cru por sensores Baumer, visando aumentar a confiabilidade da detecção de nível e reduzir falh</t>
  </si>
  <si>
    <t>Substituição dos sensores capacitivos IFM utilizados nos transportes de café cru por sensores capacitivos Baumer. O modelo atual apresenta variações de detecção devido às mudanças nas características do café, principalmente pela presença de poeira, ocasionando envio incorreto de produto para os torradores. O modelo Baumer permite um ajuste mais preciso da sensibilidade conforme as características do material, proporcionando maior confiabilidade na detecção. Este mesmo modelo já é utilizado com sucesso nos silos de pó.</t>
  </si>
  <si>
    <t>FB0155417</t>
  </si>
  <si>
    <t>Gestão de rádios com rastreio em tempo real e responsabilidade dos usuários.</t>
  </si>
  <si>
    <t xml:space="preserve">Melhoria na gestão de rádios e acessórios, com controle em tempo real da localização dos equipamentos e implementação de termos de responsabilidade para os associados, garantindo maior organização, rastreabilidade e conservação dos recursos.
</t>
  </si>
  <si>
    <t>Vinicius Oliveira</t>
  </si>
  <si>
    <t>FB0155442</t>
  </si>
  <si>
    <t>retirar segundo alarme do detector de metais(corpo de prova)</t>
  </si>
  <si>
    <t xml:space="preserve">Desde 01/06 foi feita uma mudança pra que o teste ocorresse para apenas uma vez no turno.
Não é necessário o segundo alarme mais </t>
  </si>
  <si>
    <t>FB0155532</t>
  </si>
  <si>
    <t>Mudança de local da etiquetadora da linha 4</t>
  </si>
  <si>
    <t>Já realizada
Realizado a mudança da etiquetadora para a esteira posterior para melhor desempenho e facilidade no ajuste da etiquetadora diminuindo falhas e sujidade excessiva gerada por mal ajuste da mesma</t>
  </si>
  <si>
    <t>FB0155552</t>
  </si>
  <si>
    <t xml:space="preserve">adicionar três caixas dessa embaixo da mesa do borracheiro </t>
  </si>
  <si>
    <t>FB0155757</t>
  </si>
  <si>
    <t xml:space="preserve">Implementação Na Área descarte para limpeza para Área </t>
  </si>
  <si>
    <t xml:space="preserve">Área de resíduos de descarte de rejeitos não tem uma vassoura e nem uma Pá, a ideia é implementar um guia de suporte contendo uma vassoura e uma pá para que após os associados realizarem os descartes realizar a limpeza da área, nessa área de descarte não existe esses itens para limpeza assim a área fica limpa e logo após realizados os descarte realizaremos a limpeza do chão e otimizamos tempo ao voltar até a linha e até a área novamente </t>
  </si>
  <si>
    <t>FB0155760</t>
  </si>
  <si>
    <t>Centralização das etiquetas SHEalert no quadro para facilitar atualização pela equipe</t>
  </si>
  <si>
    <t>Atualmente, as etiquetas de SHEalert encontram-se armazenadas em gavetas sob responsabilidade de membros da equipe de SHE, o que acaba dificultando o processo de atualização. Essa prática limita o acesso e a gestão a uma única pessoa, reduzindo a agilidade e a eficiência na manutenção das informações.
A proposta desta ideia é tornar o acesso às etiquetas mais democrático, permitindo que qualquer integrante da equipe de SHE possa realizar atualizações sempre que necessário. Para isso, sugere-se que as etiquetas sejam disponibilizadas diretamente no próprio quadro, facilitando o acesso imediato.
Com essa mudança, busca-se garantir que a fábrica e os quadros informativos permaneçam constantemente atualizados, de forma mais rápida, prática e eficiente.</t>
  </si>
  <si>
    <t>FB0155976</t>
  </si>
  <si>
    <t>Remoção de parâmetros com senha na Fabrima 2 (alinhado com Fabrima 4 e 5)</t>
  </si>
  <si>
    <t xml:space="preserve">A ideia é revisar e retirar os parâmetros que possuem senha na Fabrima 2, seguindo o mesmo padrão já adotado nas Fabrimas 4 e 5.
Durante essa revisão, será realizado um alinhamento conjunto com o Operador e o Coordenador para garantir clareza e segurança na tomada de decisão.
Objetivo
Identificar todos os parâmetros da Fabrima 2 que atualmente utilizam senha
Avaliar, em conjunto com o Operador e o Coordenador, quais parâmetros:
Podem ter a senha removida
Precisam obrigatoriamente manter senha
Garantir que os parâmetros estejam corretamente classificados conforme necessidade operacional e de segurança
Participantes: Igor, Rafael e Flávia </t>
  </si>
  <si>
    <t>FB0155992</t>
  </si>
  <si>
    <t>Mudança de extintor</t>
  </si>
  <si>
    <t>O extintor de incêndio, localizado ao lado do espaço de trabalho da Fabrízia, possui uma localização ruim que limita um pouco a chegada e fica numa área onde as pessoas costumam sentar para tratar temas com a BP. Existe um local próximo a TV que parece ideal para nova localização, onde já existe um ponto de hidrante para uso em uma possível situação de risco.</t>
  </si>
  <si>
    <t>FB0156112</t>
  </si>
  <si>
    <t>Digitalização de paradas da moagem</t>
  </si>
  <si>
    <t>Criar um aplicativo capaz de realizar os apontamentos das paradas da moagem, eliminando os registros em papel e trazendo mais agilidade ao processo. Dessa forma, não seria mais necessário digitar manualmente na árvore de perdas, pois o sistema faria a atualização automaticamente.</t>
  </si>
  <si>
    <t>FB0156151</t>
  </si>
  <si>
    <t>Instalação de suporte para materiais de limpeza na área das peneiras</t>
  </si>
  <si>
    <t>A instalação de um suporte para pá e vassoura proporcionará melhor organização, fácil acesso aos utensílios e maior agilidade na limpeza da área. Seria muito bom instalar um para a área das Fabrimas e outro na PKD</t>
  </si>
  <si>
    <t>FB0156168</t>
  </si>
  <si>
    <t xml:space="preserve">Porta crachá com cordão retrátil </t>
  </si>
  <si>
    <t xml:space="preserve">Atualmente a fábrica implementou o uso de roletas com bloqueio de acesso a locais da fábrica, com isso passou a ser necessário o uso constante do crachá de identificação e de acesso as areas da fábrica. Na maioria dos casos ao passar na catraca é necessário abaixar para aproximar o cartão a catraca ou retirar o crachá do pescoço ou bolso, afetando a ergonomia dos funcionários que circulam pela fabrica muitas vezes ao dia.
O porta crachá com cordão retrátil, permite que você puxe o crachá até a roleta, não necessitando a retida do mesmo ou abaixar para se aproximar da roleta. Dependendo do modelo escolhido é possível também que o funcionário coloque o crachá preso ao uniforme no ponto que se sentir mais confortável de usar. 
</t>
  </si>
  <si>
    <t>FB0156301</t>
  </si>
  <si>
    <t xml:space="preserve">Relógio </t>
  </si>
  <si>
    <t xml:space="preserve">Entrar em contato com o pessoal da programação se possível colocar um relógio na área demarcada para acompanhar o horário de análise e também no final de turno para ter mais precisão ao desligar a máquina. 
Relton, por favor, ver com a EGE. </t>
  </si>
  <si>
    <t>FB0156312</t>
  </si>
  <si>
    <t>Câmera na área da revisão - acompanhamento ao longo do turno</t>
  </si>
  <si>
    <t>Posicionar uma câmera adicional ao sistema de gestão das câmeras da manutenção (as que cobrem máquina e robô) ou de Facilities (que cobre as imagens do torrador), para que possamos acompanhar a área de revisão da sala de liderança. Há muito deslocamento para a área para verificar a situação ou acompanhar se pallets foram retornados. Isso traz autonomia pra gestão do turno e garente que menos pallets fiquem para trás, porque gerimos melhor aquela área junto do time e evitando gerar impacto em RFT. 
(Obs: Eli pode ajudar a entender o custo para implantar + adição no contrato mensal pra manter essa imagem)</t>
  </si>
  <si>
    <t>FB0156313</t>
  </si>
  <si>
    <t>TV de monitoramento (igual as imagens disponíveis no supervisório) - instalada na sala da liderança</t>
  </si>
  <si>
    <t xml:space="preserve">Instalar uma TV com as mesmas imagens dos torradores aqui dentro do container. É importante por vias de segurança e gestão da área que consigamos ver a situação de uma área crítica. Podemos identificar também fagulhas, vazamentos, áreas com acúmulo de pó em uma área ATEX e direcionar as contingências de forma mais rápida. </t>
  </si>
  <si>
    <t>FB0156324</t>
  </si>
  <si>
    <t>Adicionar um banco próximo à árvore para proporcionar um espaço de descanso e convivência aos colaboradores durante o período pós-almoço</t>
  </si>
  <si>
    <t>Disponibilizar um espaço ao ar livre para descanso e convivência dos colaboradores durante os intervalos, bem-estar e integração da equipe.</t>
  </si>
  <si>
    <t>FB0156490</t>
  </si>
  <si>
    <t>Realizar a duplicação  do ponto de abertura ou fechamento do magazine de pacotes nos pontos sugeridos . 
Para eliminar na necessidade do operador ir do outro lado da máquina ,pois operador passa a maior parte da operação do lado sugerindo a colocação dos pontos.
Ideia discutida com Henrique Cardoso.</t>
  </si>
  <si>
    <t>FB0156495</t>
  </si>
  <si>
    <t xml:space="preserve">Instalação de uma luz de emergencia no container de manufatura </t>
  </si>
  <si>
    <t xml:space="preserve">Atualmente nas quedas de energia no container de manufatura não tem uma luz de emergencia, instalar uma na tomada aérea que já tem aqui </t>
  </si>
  <si>
    <t>FB0157271</t>
  </si>
  <si>
    <t xml:space="preserve">Fazer um puxador, para facilitar na troca do balde de rejeito do detector de metal </t>
  </si>
  <si>
    <t>Fazer um puxador, para facilitar na troca do balde de rejeito do detector de metal</t>
  </si>
  <si>
    <t>FB0157432</t>
  </si>
  <si>
    <t>caixa de máscaras com válvulas</t>
  </si>
  <si>
    <t xml:space="preserve">Mais práticos paras nos funcionários pegar e usar </t>
  </si>
  <si>
    <t>FB0157443</t>
  </si>
  <si>
    <t>padronização da alimentação do moinho 2</t>
  </si>
  <si>
    <t>Integrantes da ideia: arthur, fabio, Igor, Marcao
A ideia consiste na montagem de um servo de alimentação, juntamente com suas cremalheiras e uma regua de alimentação compativel com o sistema. sera necessario tambem a montagem de 2 novas polias para o acionamento do rolo alimentador com o motor do lado A.
Sera necessario serviço de usinagem e moinho parado minimo 3 dias.</t>
  </si>
  <si>
    <t>02. MOAGEM LINHA 02</t>
  </si>
  <si>
    <t>FB0157444</t>
  </si>
  <si>
    <t>padronização da vazão do moinho 5</t>
  </si>
  <si>
    <t>05. MOAGEM LINHA 05</t>
  </si>
  <si>
    <t>FB0157458</t>
  </si>
  <si>
    <t>Caixa de carregador pra tablete café cru</t>
  </si>
  <si>
    <t xml:space="preserve">Estalar uma caixinha de carregador para carregar o tablete do café cru </t>
  </si>
  <si>
    <t>FB0157517</t>
  </si>
  <si>
    <t>Adicionar ponto de tomada ao lado da peneira 01 e das peneiras 02/03 para usar aspirador</t>
  </si>
  <si>
    <t xml:space="preserve">Adicionar pontos de tomada para utilização de aspirador de pó durante a limpeza das peneiras, visando garantir que a área fique sempre limpa e que a atividade seja realizada de forma mais ágil. </t>
  </si>
  <si>
    <t>FB0157549</t>
  </si>
  <si>
    <t>Adaptação do silo de serviço.</t>
  </si>
  <si>
    <t>Afim de diminuir o travamento causado por acúmulo de poeira, na parte inferior das roscas do silo de serviço, a sugestão é colocar uma “tela forte”, na parte de baixo. Com a trepidação do aparelho, o pó irá sair por esta tela, e cair em uma calha removível, que poderá ser esvaziada sempre que necessário.</t>
  </si>
  <si>
    <t>FB0157790</t>
  </si>
  <si>
    <t>Substituir as rodinhas dos carrinhos de reprocessos do empacotamento</t>
  </si>
  <si>
    <t>As rodinhas hoje são incompatíveis com o peso transportado pelos carrinhos, muitas vezes de 40 - 50kg. Elas travam e dificultam o processo de transporte até a moagem exigindo esforço excessivo. Além de riscar todo o piso. Sugestão é trocar por outros rodízios com capacidade para 80kg, como do exemplo no link e como foto anexa a ideia. 
https://www.gadotticar.com.br/produto/rodizio-4-polegadas-giratorio</t>
  </si>
  <si>
    <t>FB0158199</t>
  </si>
  <si>
    <t xml:space="preserve">redução de descarte da peneira rotativa </t>
  </si>
  <si>
    <t>Ao realizar a atividade de limpeza das peneiras rotativas, tem descartado muito café bom porque a rota está cheia de café,sugiro que antes de finalizar a produção do 3º turno na quarta feira seja realizado a limpeza da rota conforme é feito no sábado no 2º turno</t>
  </si>
  <si>
    <t>FB0158899</t>
  </si>
  <si>
    <t>Modificação do ponto de bloqueio da encaixotadora</t>
  </si>
  <si>
    <t>realizar confeção de um suporte e furo na manopla do registro de ar comprimido do ponto de bloqueio pneumatico 2 para que nao seja necessario a utilização da peça auxiliar de bloqeuio pneumatico</t>
  </si>
  <si>
    <t>FB0159434</t>
  </si>
  <si>
    <t xml:space="preserve"> Criar tubulação para aspirador de po acima dos silos do cafe cru</t>
  </si>
  <si>
    <t>ideia de: Wallace e Arthur
Ideia consiste em criar uma tubulação de pvc com conexão para mangueira do aspirador com intuito de facilitar a limpeza do pó acima dos silos do cafe cru.
SHE: Aprovado.
QUALIDADE: Aprovado.</t>
  </si>
  <si>
    <t>03. SILOS</t>
  </si>
  <si>
    <t>FB0159593</t>
  </si>
  <si>
    <t>Confecção e instalação de um tubo para aspiração do fosso do cafe cru</t>
  </si>
  <si>
    <t>Ideia de: Wallace e Arthur 
Consiste em colocar um tubo de pvc descendo para dentro do fosso para engate de mangueira de aspirador para facilitar a limpeza do local</t>
  </si>
  <si>
    <t>01. ELEVADOR CANECAS</t>
  </si>
  <si>
    <t>FB0159911</t>
  </si>
  <si>
    <t>Led Bomba PKD</t>
  </si>
  <si>
    <t xml:space="preserve">Instalação de 3 led para indicar que as Bombas estão ligadas </t>
  </si>
  <si>
    <t>FB0159914</t>
  </si>
  <si>
    <t xml:space="preserve">Tomada nos motores das peliculas e cinza </t>
  </si>
  <si>
    <t>Realizado instalação de plugs nos motores para facilitar manutenção mecânica, gerando ganho de MO e tempo de execução da atividade. 
SHE: Deixar em standby - Precisamos analisar com calma. Temos riscos quanto ao LOTOTO para esta melhoria</t>
  </si>
  <si>
    <t>FB0159929</t>
  </si>
  <si>
    <t>eliminar ponto de bloqueio de ar 1 na pkd</t>
  </si>
  <si>
    <t xml:space="preserve">eliminar ponto de bloqueio de ar 1 na pkd, 
A ideia consiste na eliminação da necessidade de bloqueio, pois os pontos 1 e 2 são redundantes, os dois pontos bloqueiam os mesmos pontos
SHE terá que atualizar o quadro de bloqueio retirando o ponto do quadro e assim facilitar a visualização </t>
  </si>
  <si>
    <t>FB0160019</t>
  </si>
  <si>
    <t xml:space="preserve">trocar as fechadura das peneiras 1e 2 </t>
  </si>
  <si>
    <t xml:space="preserve">Trocar as fechaduras das peneira 01 e peneira 02 e ficar igual a da peneira 03 </t>
  </si>
  <si>
    <t>FB0160124</t>
  </si>
  <si>
    <t>Cross-functional Job Shadowing - OPERAÇÃO</t>
  </si>
  <si>
    <t xml:space="preserve">Algumas pessoas da operação tem vontade de passar para área administrativa, uns estão estudando e buscando uma oportunidade, outros tem uma visão de que é um trabalho confortável, sem entender a responsabilidade/peso de cada cadeira. Seria interessante se pudessem passar um dia com a área que eles tem vontade de trabalhar futuramente, para conhecer e entender se é realmente o que gostariam e assim a gente também ter a oportunidade de mostrar, que por trás de cada notebook tem muito trabalho envolvido e que não é tão simples e fácil quanto parece ser. E também podemos mostrar o impacto que o trabalho da operação, tem pra nós administrativo, o quanto são importantes. 
Para o time administrativo isso é mais simples, podemos fazer mentoria com outras áreas, somos desenvolvidos pela liderança, para a operação isso não acontece da mesma forma. 
Poderiam criar um programa e os associados interessados fazem o cadastro para conhecer as áreas, talvez ser um plus para o programa de capacitação da operação, tipo um "passaporte de conexões". </t>
  </si>
  <si>
    <t>FB0160471</t>
  </si>
  <si>
    <t>USO ESTRATÉGICO DO DMOS</t>
  </si>
  <si>
    <t xml:space="preserve">Mensalmente, enviamos diversos BOSS E BOSQ através do DMOS, como parte da nossa meta e também para exercer nosso papel enquanto colaborador empenhado com o valor seja dono. Porém, essas informações, não são utilizadas de forma estratégica a fim de entender os problemas e trabalhar para conscientização e resolução dos problemas identificados etiquetas. </t>
  </si>
  <si>
    <t>FB0160773</t>
  </si>
  <si>
    <t>DEFLETOR - AR CONDICIONADO</t>
  </si>
  <si>
    <t xml:space="preserve">Instalar um defletor no ar condicionado do almoxarifado, a ventilação bate diretamente nas pessoas e gera incomodo. </t>
  </si>
  <si>
    <t>FB0160774</t>
  </si>
  <si>
    <t xml:space="preserve">Grade de Proteção nas laterais dos magazines </t>
  </si>
  <si>
    <t>Grade de proteção para as laterais dos magazines é os vãos na retirada dos paletes das fabrimas,diminuindo o risco de pessoas passar nos vãos e gerar um acidente com o robô em funcionamento.</t>
  </si>
  <si>
    <t>FB0160775</t>
  </si>
  <si>
    <t xml:space="preserve">instalação de escada área logística </t>
  </si>
  <si>
    <t>Escada instalada na área logística para eliminar o risco de atropelamento .</t>
  </si>
  <si>
    <t>07. AREAS EXTERNAS</t>
  </si>
  <si>
    <t>FB0161007</t>
  </si>
  <si>
    <t>melhoria no ponto de bloqueio de ar comprimido da esteira alpino</t>
  </si>
  <si>
    <t>realizar a confecção de um suporte para que não seja necessario usar uma peça a mais na hora do bloqueio apenas o cadeado</t>
  </si>
  <si>
    <t>FB0161515</t>
  </si>
  <si>
    <t>Adicionar no CIL mensal - Limpeza plataforma do Nederman+bombas de vácuo</t>
  </si>
  <si>
    <t xml:space="preserve">Conforme saída de auditoria de BPF, adicionar ponto de limpeza da plataforma Nederman+bombas de vácuo no CIL mensal. </t>
  </si>
  <si>
    <t>FB0161518</t>
  </si>
  <si>
    <t xml:space="preserve">Adicionar no CIL mensal - Limpeza plataforma do Detector de metais PKD + Rosca </t>
  </si>
  <si>
    <t xml:space="preserve">Conforme saída de auditoria de BPF, adicionar ponto de limpeza da plataforma do Detector de metais PKD + Rosca no CIL mensal. </t>
  </si>
  <si>
    <t>FB0161549</t>
  </si>
  <si>
    <t xml:space="preserve">farol sinalizador </t>
  </si>
  <si>
    <t>Sinalizador de passagem de veículos, sinalizar aos pedestres que a passagem de veículos pesados para aumentar a atenção de todos.
SHE: Aprovado.</t>
  </si>
  <si>
    <t>FB0161711</t>
  </si>
  <si>
    <t>REGISTROS ON-TIME PARA PROBLEMAS NO PONTO</t>
  </si>
  <si>
    <t>Essa ideia parte de um problema, relacionado ao mal funcionamento pontual. A expectativa, é que quando houver problemas com o batimento, o colaborador reporta através de um QR code, fixado próximo ao ponto. Executei um Power Automate teste e funcionou muito bem para extrair as informações do FORMS e encaminhar via e-mail, para partes interessadas. Imagino que a articulação principal, seja com gestores para entender possíveis evoluções e problemas que possam surgir a respeito.</t>
  </si>
  <si>
    <t>FB0162160</t>
  </si>
  <si>
    <t xml:space="preserve">placa para informação </t>
  </si>
  <si>
    <t xml:space="preserve">Placa para visualização de qual lado colocar a etiqueta no palete Strechadeira na carga para não locar a etiqueta e vertida ,Asegurando assertividade operacional </t>
  </si>
  <si>
    <t>FB0162195</t>
  </si>
  <si>
    <t>melhoria para o mop</t>
  </si>
  <si>
    <t xml:space="preserve">Ter opção de mostrar paradas não planejadas separadas 
Quantidade de paradas do robô e quantidade de parada da fabrima
Pra ajudar no fechamento de relatórios </t>
  </si>
  <si>
    <t>FB0162196</t>
  </si>
  <si>
    <t>melhoria pro mop</t>
  </si>
  <si>
    <t>Pra ter mais praticidade ,poderia ser colocado o reprocesso junto com a função de fechamento de relatório.
Ai quanto colocasse a função de fechamento dê relatório, aparecesse junto a função de reprocesso .
Facilitando fechamento de relatórios e ajudando a parar de ficar avisando o próximo turno sobre o lançamento do reprocesso.( se um turno não lança, fica aparecendo que não foi lançado no próximo turno)</t>
  </si>
  <si>
    <t>FB0162303</t>
  </si>
  <si>
    <t>FLUXO DE REGISTRO ONBOARDING</t>
  </si>
  <si>
    <t xml:space="preserve">Existem processos no onboarding que precisam ser analisados, em decorrência de um problema relatado pela gestora Michelle, com a dificuldade para auxiliar em uma emergência que teve na planta, devido a falta de visibilidade do número do cartão da UNIMED e um número de emergência de algum familiar, para situações necessárias.
Pensando nisso, a ideia, é incluir no próprio momento inicial de onboarding (Seg de 08 ás 10h), um momento para leitura do qr-code e preenchimento das informações de emergência como: Nome e contato de emergência, número da carteirinha do Unimed CNU. Esse qr-code também gera via Power Automate, uma pendência de 30 dias para acompanhamento da entrega do crachá efetivo. </t>
  </si>
  <si>
    <t>FB0162312</t>
  </si>
  <si>
    <t>AUXILIO COM BENEFÍCIOS</t>
  </si>
  <si>
    <t xml:space="preserve">Essa ideia surge de um problema com time entre a chegada do colaborador e seu acesso aos benefícios. Pensando nisso, verifiquei com o time, se seria possível a inclusão do ID 1 e 2 no próprio crachá provisório, garantindo que tenham acesso ás informações necessárias para acessar o BENEFLEX, bater o ponto e adquirir cafés com desconto em folha. A ideia é que ainda no primeiro dia, os colaboradores incluam os dependentes e atribuam os grãos de acordo com o que preferirem.
Verifiquei que seria possível por exemplo, incluindo a portaria em cópia ao e-mail de onboarding, que contem a lista de novos associados. </t>
  </si>
  <si>
    <t>FB0162334</t>
  </si>
  <si>
    <t>datador Fabrima 5</t>
  </si>
  <si>
    <t xml:space="preserve">Na área de selecionar trabalho  da frabrima 5 tem várias predominâncias , que já não são mais usados, hoje só usamos 4 predominantes, realizar a retirada desses que não são mais usados , para garantir uma troca com segurança , evitar erros e retrabalho ou até mesmo impactos maiores  </t>
  </si>
  <si>
    <t>FB0162502</t>
  </si>
  <si>
    <t>embalagem fora do sacos</t>
  </si>
  <si>
    <t>Fazer o descarte de maneira correta nas gaiolas. Fica  um ambiente mas organizado e agradável para receber visitas ou quem quer que seja.</t>
  </si>
  <si>
    <t>FB0162645</t>
  </si>
  <si>
    <t xml:space="preserve">melhoria na  área das Strechadeira </t>
  </si>
  <si>
    <t xml:space="preserve">Troca de peças quebráveis por de metais </t>
  </si>
  <si>
    <t>FB0163066</t>
  </si>
  <si>
    <t xml:space="preserve">Válvula coleiro </t>
  </si>
  <si>
    <t>Realizado a substituição da válvula da acionamento da cola, por uma deslocada do conjunto da pistola de aplicação de cola.</t>
  </si>
  <si>
    <t>FB0163763</t>
  </si>
  <si>
    <t>colocar fita refletiva</t>
  </si>
  <si>
    <t xml:space="preserve">Colocar fita refletiva na área da logística para mais visibilidade onde a área no período noturno fica menos visíveis .
Para assim diminuir o risco de colisão com a grade.
Ideia elaborada por Magno Geraldo </t>
  </si>
  <si>
    <t>FB0164027</t>
  </si>
  <si>
    <t>Mangueira do Rejeito</t>
  </si>
  <si>
    <t xml:space="preserve">Trica da mangueira do rejeito da peneira 2, a mangueira que está não tem flexibilidade na hora da troca dos baldes, dificultando a troca dos baldes e retirada da tampa, causando sujidades na hora da troca. Recomendo uma mangueira com flexibilidade melhor, como a dos rejeitos da peneira 1 e 3 </t>
  </si>
  <si>
    <t>FB0164176</t>
  </si>
  <si>
    <t>Motores auxiliares para girar eixo com pá dos torradores</t>
  </si>
  <si>
    <t xml:space="preserve">A ideia é ter motores a parte da operação normal do torradores para que em caso de falhas do torrador, apagão dos paineis de controle, quedas de energia, etc, os motores seja acionados paralelamente para girar os eixos com pás, energia dos torradores fornecida por geradores de energia. Horas o problema é ausencia das manivelas e horas é o peso em girar a manivela porque o café encharcado é muito pesado. </t>
  </si>
  <si>
    <t>FB0164195</t>
  </si>
  <si>
    <t>refletores na área de revisão de paletes</t>
  </si>
  <si>
    <t>Falta de iluminação para os colaboradores fazer a verificação dos paletes estourados, com isso o trabalho às vezes tem que ser refeito mais de uma vez .</t>
  </si>
  <si>
    <t>CANCELAR IDEIA REPETIDA</t>
  </si>
  <si>
    <t>FB0164305</t>
  </si>
  <si>
    <t>instalação de lâmpada no almoxarifado de inflamáveis</t>
  </si>
  <si>
    <t>No turno da noite se torna impossível a retirada de materiais devido a baixa luminosidade. Solicito a instalação de uma lâmpada no interior do depósito ou de fora um refletor direcionado.</t>
  </si>
  <si>
    <t>FB0164338</t>
  </si>
  <si>
    <t xml:space="preserve">Área de descarte </t>
  </si>
  <si>
    <t xml:space="preserve">Colocar um suporte para  pá e uma vassoura na área de descarte, para facilitar a limpeza do local e fica sempre organizado </t>
  </si>
  <si>
    <t>FB0164899</t>
  </si>
  <si>
    <t xml:space="preserve">indentificar o tamanho do uniforme  do combate ao inserido e das botas </t>
  </si>
  <si>
    <t xml:space="preserve">Mais prático para o brigadista utilizar o uniforme com mais clareza e rapidez ,ao necessitar utilizar se ouvir insedio </t>
  </si>
  <si>
    <t>FB0164908</t>
  </si>
  <si>
    <t>SENSORES DE PRESENÇA</t>
  </si>
  <si>
    <t xml:space="preserve">Instalação de sensores de presença nas salas de reunião,para automatizar o desligamento da iluminação e ar condicionado. </t>
  </si>
  <si>
    <t>FB0165012</t>
  </si>
  <si>
    <t>FB0165510</t>
  </si>
  <si>
    <t>Manivelas com cabo maior para eixo com pás dos torradores 1,2 e 3</t>
  </si>
  <si>
    <t>Manivelas com cabo maior para melhor atuação em caso de emergência nos torradores, pois as atuais possuem um cabo curto, sendo assim durante o giro dos eixos com pás é necessário uma enorme quantidade de força para gerar o movimento de giro dos motores, principalmente quando há café encharcado.</t>
  </si>
  <si>
    <t>FB0165581</t>
  </si>
  <si>
    <t>Aplicativo para registro de paradas torradores</t>
  </si>
  <si>
    <t xml:space="preserve">Desenvolvimento de um aplicativo para tornar o apontamento de paradas mais dinâmico e eficiente, com integração automática à Árvore de Perdas. A solução elimina a necessidade de registros em papel e reduz atividades manuais, evitando o processo de copiar e colar informações, garantindo maior agilidade, precisão e confiabilidade dos dados.
Participantes: Moises e Flávia </t>
  </si>
  <si>
    <t>New software</t>
  </si>
  <si>
    <t>FB0165582</t>
  </si>
  <si>
    <t>App para CIL</t>
  </si>
  <si>
    <t xml:space="preserve">Desenvolvimento de um aplicativo para o CIL que disponibilize digitalmente todas as informações de cada ponto de controle, proporcionando maior eficiência operacional. A solução elimina a necessidade de utilização de papel para impressão, agiliza a conferência dos dados e disponibiliza as informações em tempo real. Além disso, facilita a validação das atividades realizadas, aumenta a confiabilidade dos registros e reduz a carga de trabalho da equipe, uma vez que atualmente existe uma pessoa dedicada exclusivamente a realizar esses apontamentos manualmente.
Participantes: Moises e Flávia </t>
  </si>
  <si>
    <t>FB0165583</t>
  </si>
  <si>
    <t xml:space="preserve">Micro nas portas das câmaras dos torradores </t>
  </si>
  <si>
    <t>Instalação de micro de segurança nas portas das câmaras de torra e resfriamento dos torradores, impedindo o início da operação quando qualquer porta estiver aberta.</t>
  </si>
  <si>
    <t>FB0166084</t>
  </si>
  <si>
    <t>Limpeza do sensor de chama TD03</t>
  </si>
  <si>
    <t>Incluir no plano da manutenção a limpeza do sensor de chama do torrador 03</t>
  </si>
  <si>
    <t>FB0166284</t>
  </si>
  <si>
    <t xml:space="preserve">Criar um APP para execução do CIL </t>
  </si>
  <si>
    <t>Desenvolvimento de um aplicativo para digitalizar e padronizar a execução do CIL, substituindo controles manuais e planilhas por uma ferramenta prática e de fácil utilização.</t>
  </si>
  <si>
    <t>FB0166449</t>
  </si>
  <si>
    <t>FAIXA DE PEDESTRES - LOGÍSTICA</t>
  </si>
  <si>
    <t>Não existe uma faixa de pedestres no "caminho da logística", que é usado geralmente em dias de chuva de forma alternativa.</t>
  </si>
  <si>
    <t>FB0167262</t>
  </si>
  <si>
    <t>suporte de fita para trocar a bobina da raumak 2</t>
  </si>
  <si>
    <t>Quando vai fazer a troca de bobina temos que pegar o colador e passar a fita colando uma bobina na outra,se tivesse um suporte na máquina para já deixar fixo uma fita onde já tem um imã na chapa ,facilitaria o operador na hora da troca ,diminuindo o tempo e sendo mais prático.</t>
  </si>
  <si>
    <t>Lara Resende</t>
  </si>
  <si>
    <t>FB0167269</t>
  </si>
  <si>
    <t>Criação de suporte para cabos dos sensores das valvulas de pelicula do torrador 1</t>
  </si>
  <si>
    <t xml:space="preserve">Wallace e Arthur
A ideia consiste na criação de um suporte guia para que os cabos nao encostem nas superficies quentes e venham a derreter gerando falha no torrador </t>
  </si>
  <si>
    <t>FB0167270</t>
  </si>
  <si>
    <t>Criação de suporte para cabos dos sensores das valvulas de pelicula do torrador 2</t>
  </si>
  <si>
    <t>FB0167540</t>
  </si>
  <si>
    <t xml:space="preserve">Troca do visor da parte interna da câmara de torra por chapa inox </t>
  </si>
  <si>
    <t>Atualmente nas câmaras de torra tem 2 visores de policarbonato, um na parte que fica visível para a passagem secreta e outro que fica internamente, sendo necessário abrir as portas do torrador para verificação. No entanto somente um visor na parte visível já é suficiente para acompanhar as torras em caso de quedas de energia, sendo o outro visor um risco a mais de peças críticas.</t>
  </si>
  <si>
    <t>FB0167541</t>
  </si>
  <si>
    <t xml:space="preserve">Película antiestilhaço nos visores de policarbonato </t>
  </si>
  <si>
    <t>Aplicar película antiestilhaço nos visores dos torradores das câmaras de torra, esfriamento do Torrador 1 e 2  e cilindro de torra e esfriamento do Torrador 3 para que se houver algum rompimento não tenha riscos de ir fragmentos para o produto.</t>
  </si>
  <si>
    <t>Meses (Criada)</t>
  </si>
  <si>
    <t>(Vários itens)</t>
  </si>
  <si>
    <t>Anos (Criada)</t>
  </si>
  <si>
    <t>2026</t>
  </si>
  <si>
    <t>Rótulos de Coluna</t>
  </si>
  <si>
    <t>ADM/TÉCNICO/ASSISTENTE/ESTAG.</t>
  </si>
  <si>
    <t>OPERAÇÃO</t>
  </si>
  <si>
    <t>Total Geral</t>
  </si>
  <si>
    <t>Contagem de Enviado por</t>
  </si>
  <si>
    <t xml:space="preserve">Mais de 50% das ideias criadas por Operação </t>
  </si>
  <si>
    <t>Aprovadas</t>
  </si>
  <si>
    <t>Canceladas/ Rascunho</t>
  </si>
  <si>
    <t>2025-2026 ATUALIZADAS</t>
  </si>
  <si>
    <t>SÓ 2026</t>
  </si>
  <si>
    <t xml:space="preserve">Ideias Implementadas </t>
  </si>
  <si>
    <t>Ideias Aprovadas</t>
  </si>
  <si>
    <t>Implementadas/total de ideias aprovadas</t>
  </si>
  <si>
    <t>Nivel 2</t>
  </si>
  <si>
    <t>Precisamos mais que 50% de ideias implementadas/executadas</t>
  </si>
  <si>
    <t>Nivel 3</t>
  </si>
  <si>
    <t xml:space="preserve">Precisamos mais que 80% de ideias implementadas/executadas </t>
  </si>
  <si>
    <t>Contagem de Sub categoria</t>
  </si>
  <si>
    <t>Rótulos de Linha</t>
  </si>
  <si>
    <t>INVALUABLE</t>
  </si>
  <si>
    <t xml:space="preserve">IN PROGRESS </t>
  </si>
  <si>
    <t>CLOSED</t>
  </si>
  <si>
    <t>REALIZED</t>
  </si>
  <si>
    <t>(Tudo)</t>
  </si>
  <si>
    <t>Associado que criaram ideia</t>
  </si>
  <si>
    <r>
      <t>Assosciados que</t>
    </r>
    <r>
      <rPr>
        <b/>
        <sz val="11"/>
        <color rgb="FF000000"/>
        <rFont val="Aptos Narrow"/>
        <family val="2"/>
        <scheme val="minor"/>
      </rPr>
      <t xml:space="preserve"> não</t>
    </r>
    <r>
      <rPr>
        <sz val="11"/>
        <color indexed="8"/>
        <rFont val="Aptos Narrow"/>
        <family val="2"/>
        <scheme val="minor"/>
      </rPr>
      <t xml:space="preserve"> criaram ideias</t>
    </r>
  </si>
  <si>
    <t>Total FTE</t>
  </si>
  <si>
    <t>Total ideias criadas</t>
  </si>
  <si>
    <t>% de ideias por FTE</t>
  </si>
  <si>
    <t xml:space="preserve">FTE faltantes </t>
  </si>
  <si>
    <t>Contagem de Status</t>
  </si>
  <si>
    <t>Alex Wilson Jose Bernardes</t>
  </si>
  <si>
    <t>Alexandre Da Costa Araujo</t>
  </si>
  <si>
    <t>Ana Luisa Figueiredo Silva</t>
  </si>
  <si>
    <t>Ana Luiza Paula</t>
  </si>
  <si>
    <t>Ana Maria da Silva</t>
  </si>
  <si>
    <t>Caluan Guimaraes</t>
  </si>
  <si>
    <t>Camila Brasilia</t>
  </si>
  <si>
    <t>Camila Franco</t>
  </si>
  <si>
    <t>Nível 3</t>
  </si>
  <si>
    <t>Precisamos de 0,3 de ideias criadas por 1FTE</t>
  </si>
  <si>
    <t>Daniel Seri</t>
  </si>
  <si>
    <t>DEIVISON SOUZA ALVES CHAVES</t>
  </si>
  <si>
    <t>Deusmira Lima</t>
  </si>
  <si>
    <t>Deyvidson Dos Santos</t>
  </si>
  <si>
    <t>Ednaldo L Silva</t>
  </si>
  <si>
    <t>Nível 2</t>
  </si>
  <si>
    <t>Precisamos de 50% de FTE tenha criado pelo menos 1 ideia</t>
  </si>
  <si>
    <t>Precisamos de 70% de FTE tenha criado pelo menos 1 ideia</t>
  </si>
  <si>
    <t xml:space="preserve">Eduardo Santos </t>
  </si>
  <si>
    <t>EVANIO SANTOS</t>
  </si>
  <si>
    <t>FABIO COELHO</t>
  </si>
  <si>
    <t>Felipe Simoes</t>
  </si>
  <si>
    <t>Gian Silva</t>
  </si>
  <si>
    <t>Gilberto Rodrigues de Melo</t>
  </si>
  <si>
    <t>Guilherme P Silva</t>
  </si>
  <si>
    <t>Gustavo Rodrigues</t>
  </si>
  <si>
    <t xml:space="preserve">Ilbert Caetano </t>
  </si>
  <si>
    <t>Jose Medeiros</t>
  </si>
  <si>
    <t>Joviano Machado</t>
  </si>
  <si>
    <t xml:space="preserve">Kaique Ferreira </t>
  </si>
  <si>
    <t>Leticia Silva</t>
  </si>
  <si>
    <t>LUIZ NASCIMENTO</t>
  </si>
  <si>
    <t>Magno G Faria</t>
  </si>
  <si>
    <t>Marcos Costa</t>
  </si>
  <si>
    <t>Marcos O Terra</t>
  </si>
  <si>
    <t>MARIA LAURA VIEIRA</t>
  </si>
  <si>
    <t>Marina Silva</t>
  </si>
  <si>
    <t>Michel  Felipe da Silva Pio</t>
  </si>
  <si>
    <t>Nathalia Lobo</t>
  </si>
  <si>
    <t>Osvaldo De Oliveira</t>
  </si>
  <si>
    <t>Rafael Souza</t>
  </si>
  <si>
    <t>Raissa Oliveira</t>
  </si>
  <si>
    <t>Sebastiao Filho</t>
  </si>
  <si>
    <t>Vicente P Silva</t>
  </si>
  <si>
    <t>Vilbert Santos</t>
  </si>
  <si>
    <t>Vinicius de Moraes</t>
  </si>
  <si>
    <t>CAFÉ CRU</t>
  </si>
  <si>
    <t>JDE CAFES DO BRASIL UNIDADE PIUMHI</t>
  </si>
  <si>
    <t>Contagem de Área de trabalho</t>
  </si>
  <si>
    <t>TORRADORES</t>
  </si>
  <si>
    <t>MOAGEM</t>
  </si>
  <si>
    <t>EMPACOTAMENTO</t>
  </si>
  <si>
    <t>ADMINISTRATIVO</t>
  </si>
  <si>
    <t>LOGISTICA</t>
  </si>
  <si>
    <t xml:space="preserve">SALA DE PRODUTOS QUÍMICOS </t>
  </si>
  <si>
    <t>NOME</t>
  </si>
  <si>
    <t>TURNO COMP</t>
  </si>
  <si>
    <t>TURNO</t>
  </si>
  <si>
    <t>COORDENADOR</t>
  </si>
  <si>
    <t>FUNÇÃO</t>
  </si>
  <si>
    <t>STATUS</t>
  </si>
  <si>
    <t>ÁREA</t>
  </si>
  <si>
    <t>IDFIXO</t>
  </si>
  <si>
    <t>ABNER BARROS DE PAIVA</t>
  </si>
  <si>
    <t>3º turno - 6x1 - 22:00 ás</t>
  </si>
  <si>
    <t>3</t>
  </si>
  <si>
    <t>LEONARDO ANTONIO FRANCELINO JUNIOR</t>
  </si>
  <si>
    <t>OPERADOR INDUSTRIAL I</t>
  </si>
  <si>
    <t>ATIVO</t>
  </si>
  <si>
    <t>FABRIMA</t>
  </si>
  <si>
    <t>ALEX BARBARA</t>
  </si>
  <si>
    <t xml:space="preserve">1º Turno - 6x2 06:00 - 14 </t>
  </si>
  <si>
    <t>1</t>
  </si>
  <si>
    <t>HENRIQUE MARTINS CARDOSO</t>
  </si>
  <si>
    <t>TECNICO MECANICO II</t>
  </si>
  <si>
    <t>MANUTENÇÃO</t>
  </si>
  <si>
    <t>ALEX SANDRO ALVES TEIXEIRA</t>
  </si>
  <si>
    <t xml:space="preserve">2º turno - 6x1 - 14:00 ás </t>
  </si>
  <si>
    <t>2</t>
  </si>
  <si>
    <t>MICHELLE APARECIDA FARIA</t>
  </si>
  <si>
    <t>OPERADOR INDUSTRIAL II</t>
  </si>
  <si>
    <t>MOINHO</t>
  </si>
  <si>
    <t>ALEXANDRE BATISTA DE OLIVEIRA</t>
  </si>
  <si>
    <t>TECNICO MECANICO III</t>
  </si>
  <si>
    <t>ALEXANDRE DE ASSIS DA COSTA</t>
  </si>
  <si>
    <t xml:space="preserve">3º Turno - 6x2 22:00 - 06 </t>
  </si>
  <si>
    <t>ALICE RAMOS MORAIS</t>
  </si>
  <si>
    <t>0- ADM- SEG/SEX 08:30 ÀS</t>
  </si>
  <si>
    <t>0</t>
  </si>
  <si>
    <t>CAIO GUILHERME SALES FERREIRA</t>
  </si>
  <si>
    <t>ANALISTA GESTAO QUALIDADE PL</t>
  </si>
  <si>
    <t>QUALIDADE</t>
  </si>
  <si>
    <t>ALINE FERNANDES</t>
  </si>
  <si>
    <t xml:space="preserve">0 - ADM - SEG / SEX 08:00 </t>
  </si>
  <si>
    <t>SARAH FELICIO TEIXEIRA</t>
  </si>
  <si>
    <t>ASSISTENTE ADMINISTRATIVO</t>
  </si>
  <si>
    <t>ALMOXARIFADO</t>
  </si>
  <si>
    <t>ANA BEATRIZ LIMA SILVA</t>
  </si>
  <si>
    <t>0 - ADM - SEG/SEX 08:30 A</t>
  </si>
  <si>
    <t>ESTAGIARIO</t>
  </si>
  <si>
    <t>ANA CAROLLINE SIQUEIRA MARTINS</t>
  </si>
  <si>
    <t xml:space="preserve">0- ADM- SEG/SEX 08:30 ÀS  </t>
  </si>
  <si>
    <t>ELIEZER SILVA</t>
  </si>
  <si>
    <t>MANUTENÇÃO ADM</t>
  </si>
  <si>
    <t>ANA JULIA COSTA SILVA</t>
  </si>
  <si>
    <t>2º turno - 6x1 - 14:00 ás</t>
  </si>
  <si>
    <t>IZABELA CAROLINE PUGLIESI</t>
  </si>
  <si>
    <t>ANA LUISA FIGUEIREDO SILVA</t>
  </si>
  <si>
    <t>HIRE NOW</t>
  </si>
  <si>
    <t>H</t>
  </si>
  <si>
    <t>ANA LUISA SOARES PEREIRA</t>
  </si>
  <si>
    <t>DANIEL SERI</t>
  </si>
  <si>
    <t>ANALISTA FACILITIES</t>
  </si>
  <si>
    <t>FACILITIES</t>
  </si>
  <si>
    <t>ANA LUIZA DE PAULA</t>
  </si>
  <si>
    <t>2º Turno - 6X1/5X2 13:45</t>
  </si>
  <si>
    <t>ANALISTA CONTROLE QUALIDADE JR</t>
  </si>
  <si>
    <t>ANDERSON APARECIDO DO AMARAL</t>
  </si>
  <si>
    <t>TECNICO ELETRONICO II</t>
  </si>
  <si>
    <t>ANDERSON JOSE LUIZ SANTANA</t>
  </si>
  <si>
    <t>ANALISTA MANUTENCAO JR</t>
  </si>
  <si>
    <t>ANDRE FELIPE TERRA CAMPOS</t>
  </si>
  <si>
    <t>AUXILIAR INDUSTRIAL</t>
  </si>
  <si>
    <t>PKD</t>
  </si>
  <si>
    <t>ANDRE LUIS MENDES COSTA</t>
  </si>
  <si>
    <t>Analista PCM PL</t>
  </si>
  <si>
    <t>ANGELA ALVES DOS SANTOS</t>
  </si>
  <si>
    <t xml:space="preserve">1º turno - 6x1 - 06:00 ás </t>
  </si>
  <si>
    <t>RELTON FERREIRA DE MORAES</t>
  </si>
  <si>
    <t>ARTHUR FIGUEIREDO DA SILVA</t>
  </si>
  <si>
    <t>2º Turno - 6x2 14:00 - 22</t>
  </si>
  <si>
    <t>BRUNO BARCELOS MELO RESENDE</t>
  </si>
  <si>
    <t>Almoxarife</t>
  </si>
  <si>
    <t>0 - ADM - ARTIGO 62 CLT I</t>
  </si>
  <si>
    <t>COORDENADOR CONTROLE DE QUALIDADE</t>
  </si>
  <si>
    <t>CAMILA ALVES DA SILVA</t>
  </si>
  <si>
    <t>1º turno - 6x1 - 06:00 ás</t>
  </si>
  <si>
    <t>CAMILA CRISTINA BASILIO</t>
  </si>
  <si>
    <t>BRASANITAS</t>
  </si>
  <si>
    <t>B</t>
  </si>
  <si>
    <t>SUPERVISOR DE OPERAÇÕES</t>
  </si>
  <si>
    <t>CAMILA GABRIELA FRANCO</t>
  </si>
  <si>
    <t xml:space="preserve">3º turno - 6x1 - 22:00 ás </t>
  </si>
  <si>
    <t>CONTROLADOR QUALIDADE</t>
  </si>
  <si>
    <t>CARLOS EUGENIO DOS SANTOS</t>
  </si>
  <si>
    <t>FABIO ASSIS DE OLIVEIRA</t>
  </si>
  <si>
    <t>OPERADOR LOGISTICO I</t>
  </si>
  <si>
    <t>LOGÍSTICA</t>
  </si>
  <si>
    <t>CARLOS INACIO PEREIRA DE SOUZA</t>
  </si>
  <si>
    <t>DANIEL ALMEIDA MADUREIRA</t>
  </si>
  <si>
    <t xml:space="preserve">0 - ADM - ARTIGO 62 CLT I </t>
  </si>
  <si>
    <t>MARISA DUARTE COSTA PENTEADO</t>
  </si>
  <si>
    <t>GERENTE PLANTA</t>
  </si>
  <si>
    <t>ADM</t>
  </si>
  <si>
    <t>DANIELA ANDREA DE JESUS ALVES</t>
  </si>
  <si>
    <t>DEUSMIRA MARIA FIGUEIREDO LIMA</t>
  </si>
  <si>
    <t>DEYVIDSON CARLOS PERES DOS SANTOS</t>
  </si>
  <si>
    <t>SEBASTIAO RODRIGUES BARBOSA DE CASTRO</t>
  </si>
  <si>
    <t>CLASSIFICADOR TECNICO CAFE JR</t>
  </si>
  <si>
    <t>DIEGO ALMEIDA DOS SANTOS</t>
  </si>
  <si>
    <t>CAFÉ VERDE</t>
  </si>
  <si>
    <t>DIEGO ANTONIO TERRA DE OLIVEIRA</t>
  </si>
  <si>
    <t>OPERADOR LOGISTICO II</t>
  </si>
  <si>
    <t>EDILSON COIMBRA DE SOUZA</t>
  </si>
  <si>
    <t>AUXILIAR DE CARGA E DESCARGA</t>
  </si>
  <si>
    <t>EDNALDO LOPES DA SILVA</t>
  </si>
  <si>
    <t xml:space="preserve">2º Turno - 6x2 14:00 - 22 </t>
  </si>
  <si>
    <t>EDUARDA FERREIRA MAXIMO</t>
  </si>
  <si>
    <t>EDUARDO LUIS CANDIDO</t>
  </si>
  <si>
    <t>OPERADOR INDUSTRIAL III</t>
  </si>
  <si>
    <t>TORRADOR</t>
  </si>
  <si>
    <t>EDVALDO RENER DA SILVA</t>
  </si>
  <si>
    <t>EDVAN HENRIQUE PIRES SANTOS</t>
  </si>
  <si>
    <t>COORDENADOR MANUTENCAO SR</t>
  </si>
  <si>
    <t>ELKER JUSCELINO GOULART</t>
  </si>
  <si>
    <t>FABIO ANTONIO DA SILVA SANTOS</t>
  </si>
  <si>
    <t>ELIZIARIO BATISTA DE BARROS</t>
  </si>
  <si>
    <t>LIDER OPERACOES</t>
  </si>
  <si>
    <t>FABIO DE SOUZA COELHO</t>
  </si>
  <si>
    <t>TECNICO ELETRONICO III</t>
  </si>
  <si>
    <t>FABRICIO FERREIRA BRANT</t>
  </si>
  <si>
    <t>FABRIZIA DE ARAUJO SOARES</t>
  </si>
  <si>
    <t>LEILA CRISTINA DE ALMEIDA</t>
  </si>
  <si>
    <t>PARCEIRO DE NEGOCIO DE RH SR</t>
  </si>
  <si>
    <t>RH</t>
  </si>
  <si>
    <t>FELIPE JUSTINO SIMOES</t>
  </si>
  <si>
    <t>FERNANDO JOSE DOS SANTOS</t>
  </si>
  <si>
    <t>FLAVIA MIRELLY FERREIRA SILVEIRA</t>
  </si>
  <si>
    <t xml:space="preserve">0 - ADM - SEG/SEX 08:30 A </t>
  </si>
  <si>
    <t>MANUFATURA ADM</t>
  </si>
  <si>
    <t>GIAN LUCAS COSTA SILVA</t>
  </si>
  <si>
    <t>ANALISTA LOGISTICA JR</t>
  </si>
  <si>
    <t>GIOVANNA CRIPPA BIFFARATTE</t>
  </si>
  <si>
    <t>COORDENADOR PRODUCAO</t>
  </si>
  <si>
    <t>GUILHERME DE PAULA SILVA</t>
  </si>
  <si>
    <t>TECNICO ELETRONICO I</t>
  </si>
  <si>
    <t>GUILHERME DOS REIS OLIVEIRA</t>
  </si>
  <si>
    <t>TIAGO TEIXEIRA DE CARVALHO</t>
  </si>
  <si>
    <t>TECNICO SEGURANCA TRABALHO</t>
  </si>
  <si>
    <t>SHE</t>
  </si>
  <si>
    <t>GUSTAVO MATIAS RODRIGUES</t>
  </si>
  <si>
    <t>HENRIQUE GABRIEL DE OLIVEIRA</t>
  </si>
  <si>
    <t>SUPERVISOR DE MANUTENCAO</t>
  </si>
  <si>
    <t>IGOR SANTOS SOUSA</t>
  </si>
  <si>
    <t>TECNICO AUTOMACAO</t>
  </si>
  <si>
    <t>ILBERT RYAN DA SILVA PEREIRA CAETANO</t>
  </si>
  <si>
    <t>ISABELLA SILVA FERREIRA</t>
  </si>
  <si>
    <t>0 - ADM - SEG/TER/QUI/SEX</t>
  </si>
  <si>
    <t>APRENDIZ</t>
  </si>
  <si>
    <t>ISAIAS SANTOS DE MACEDO</t>
  </si>
  <si>
    <t>IVOMAR LOPES COSTA</t>
  </si>
  <si>
    <t xml:space="preserve">2º turno - BH 6x1 - 14:00 </t>
  </si>
  <si>
    <t>LIDER DE TURNO</t>
  </si>
  <si>
    <t>JADER FERREIRA COSTA</t>
  </si>
  <si>
    <t>JHONNATHAN RUFINI PEREIRA</t>
  </si>
  <si>
    <t>JOAO PEDRO ALVES RODRIGUES</t>
  </si>
  <si>
    <t>JOELMA APARECIDA INONE</t>
  </si>
  <si>
    <t xml:space="preserve">2º turno - 6x1 - 15:30 ás </t>
  </si>
  <si>
    <t>JOSE ROBERTO DE MEDEIROS</t>
  </si>
  <si>
    <t>KARINA FERREIRA DA SILVA AMARAL</t>
  </si>
  <si>
    <t>LARA VICENTE RESENDE</t>
  </si>
  <si>
    <t xml:space="preserve">3º turno - BH 6x1 - 22:00 </t>
  </si>
  <si>
    <t>LETICIA APARECIDA TEODORO</t>
  </si>
  <si>
    <t>COORDENADOR MELHORIA CONTINUA</t>
  </si>
  <si>
    <t>MELHORIA CONTINUA</t>
  </si>
  <si>
    <t>LUCAS LOURENÇO SILVEIRA FERREIRA</t>
  </si>
  <si>
    <t>LUCAS SILVA CARVALHO</t>
  </si>
  <si>
    <t>LUIZ FELIPE DE SOUZA</t>
  </si>
  <si>
    <t>LUIZ HENRIQUE DA SILVA</t>
  </si>
  <si>
    <t>TECNICO MECANICO I</t>
  </si>
  <si>
    <t>LUIZ LAURENCO DO NASCIMENTO</t>
  </si>
  <si>
    <t>LUZIA REZENDE RODRIGUES</t>
  </si>
  <si>
    <t>ANALISTA TREINAMENTO JR</t>
  </si>
  <si>
    <t>MAGNO GERALDO FARIA</t>
  </si>
  <si>
    <t>MARCOS DA COSTA</t>
  </si>
  <si>
    <t xml:space="preserve">2º Turno -  6x2 14:00 - 2 </t>
  </si>
  <si>
    <t>MARCOS PAULO DE OLIVEIRA TERRA</t>
  </si>
  <si>
    <t>MATHEUS XAVIER LINHARES RODRIGUES</t>
  </si>
  <si>
    <t>MAURICIO JUNIO FERREIRA</t>
  </si>
  <si>
    <t>MICHEL FELIPE DA SILVA PIO</t>
  </si>
  <si>
    <t>MOISES THADEU DA COSTA</t>
  </si>
  <si>
    <t>ANALISTA PRODUCAO JR</t>
  </si>
  <si>
    <t>NATHALIA NERY RODRIGUES LOBO</t>
  </si>
  <si>
    <t>NILTON FERREIRA DA COSTA</t>
  </si>
  <si>
    <t>ENCARREGADO EXPEDICAO</t>
  </si>
  <si>
    <t>OSVALDO DE OLIVEIRA</t>
  </si>
  <si>
    <t>PATRICK DA SILVA PESSOA</t>
  </si>
  <si>
    <t>PEDRO HENRIQUE BATISTA COELHO</t>
  </si>
  <si>
    <t>0 - ADM - 08:00 ÀS 16:00</t>
  </si>
  <si>
    <t>Almoxarife de Manutencao</t>
  </si>
  <si>
    <t>PEDRO HENRIQUE REZENDE SAMPAIO</t>
  </si>
  <si>
    <t>RAFAEL DA SILVA SANTOS</t>
  </si>
  <si>
    <t>RAFAEL OUTI DA SILVA</t>
  </si>
  <si>
    <t>RAFAEL PEDRO SALGADO SOUZA</t>
  </si>
  <si>
    <t xml:space="preserve">1º turno - BH 6x1 - 06:00 </t>
  </si>
  <si>
    <t>ROMILDA CUNHA</t>
  </si>
  <si>
    <t>ROSEMERE PEREIRA SANTANA</t>
  </si>
  <si>
    <t>RUBENS RONAN TEIXEIRA</t>
  </si>
  <si>
    <t>FELIPE GOMES DE OLIVEIRA</t>
  </si>
  <si>
    <t>ANALISTA PROCESSOS</t>
  </si>
  <si>
    <t>ENGENHARIA</t>
  </si>
  <si>
    <t>RUTH ALEXANIA ALVES FONSECA</t>
  </si>
  <si>
    <t>RUTH MIKAELE DE LIMA RIBEIRO</t>
  </si>
  <si>
    <t>FABIO MAION</t>
  </si>
  <si>
    <t>ANALISTA PROJETOS PL</t>
  </si>
  <si>
    <t>SAMUEL JUNIO RODRIGUES CAMARGOS</t>
  </si>
  <si>
    <t>ANALISTA SEGURANCA TRABALHO E MEIO</t>
  </si>
  <si>
    <t xml:space="preserve">0 - ADM - SEG / SEX 08:30 </t>
  </si>
  <si>
    <t>CONTROLADOR PLANTA</t>
  </si>
  <si>
    <t>SEBASTIAO BERNADINO MACEDO FILHO</t>
  </si>
  <si>
    <t>TAIS STEFANY DA COSTA</t>
  </si>
  <si>
    <t>0 - ADM - SEG / SEX - 08:</t>
  </si>
  <si>
    <t>Analista de Controle de Qualidade P</t>
  </si>
  <si>
    <t>TALITA RESENDE CAMPOS</t>
  </si>
  <si>
    <t>ANALISTA CONTROLE ESTOQUE PL</t>
  </si>
  <si>
    <t>THAIS OLIVEIRA SOUZA</t>
  </si>
  <si>
    <t>THAISSA LEONEL OLIVEIRA</t>
  </si>
  <si>
    <t xml:space="preserve">3º Turno - 6X1/5X2 21:45  </t>
  </si>
  <si>
    <t>ANALISTA CONTROLE QUALIDADE PL</t>
  </si>
  <si>
    <t>COORDENADOR SEG DO TRABALHO E MEIO</t>
  </si>
  <si>
    <t>VALERIA LUCIA ANDRADE YANEZ</t>
  </si>
  <si>
    <t>VICTOR FRANCISCO OLIVEIRA NASCIMENTO</t>
  </si>
  <si>
    <t>VICTOR RAPHAEL SANTOS SOUZA</t>
  </si>
  <si>
    <t>VILBERT OLIVEIRA SANTOS</t>
  </si>
  <si>
    <t>VINICIUS DA COSTA ALEIXO</t>
  </si>
  <si>
    <t>1º Turno - 6x2 06:00 - 14</t>
  </si>
  <si>
    <t>VINICIUS PAULO MARQUES DE MORAES</t>
  </si>
  <si>
    <t>VINICIUS RAMOS DE OLIVEIRA</t>
  </si>
  <si>
    <t>VINICIUS RIBEIRO OLIVEIRA</t>
  </si>
  <si>
    <t>0 - ADM - SEG/TER/QUA/SEX</t>
  </si>
  <si>
    <t>WALLACE JOSE SILVA PEREIRA</t>
  </si>
  <si>
    <t>WESLEY JUNIOR DA SILVA</t>
  </si>
  <si>
    <t>WEVERTON DE OLIVEIRA RODRIGUES</t>
  </si>
  <si>
    <t>WILGNER REBERTE TAYLON DA SILVA</t>
  </si>
  <si>
    <t>Base DMOS</t>
  </si>
  <si>
    <t>TIPO</t>
  </si>
  <si>
    <t>CARGO</t>
  </si>
  <si>
    <t>AREA</t>
  </si>
  <si>
    <t>SITUAÇÃO</t>
  </si>
  <si>
    <t xml:space="preserve">EMPACOTAMENTO </t>
  </si>
  <si>
    <t>ALEX WILSON JOSE BERNARDES</t>
  </si>
  <si>
    <t>DESLIGADO</t>
  </si>
  <si>
    <t>COORDENADOR DE QUALIDADE</t>
  </si>
  <si>
    <t>EDUARDO PEREIRA DOS SANTOS</t>
  </si>
  <si>
    <t>ANGELINA BERTOLLA BIUDES DESTEFANI</t>
  </si>
  <si>
    <t>LILLIAN GLORY FERREIRA</t>
  </si>
  <si>
    <t>LUCAS ROMARIO VAZ</t>
  </si>
  <si>
    <t>COORDENADOR QUALIDADE</t>
  </si>
  <si>
    <t>MANUFATURA</t>
  </si>
  <si>
    <t>CALUAN DE JESUS SANTOS GUIMARAES</t>
  </si>
  <si>
    <t>Cleiton Brandino</t>
  </si>
  <si>
    <t>CLEITON SOARES BRANDINO</t>
  </si>
  <si>
    <t>MARINA FERNANDA DA SILVA</t>
  </si>
  <si>
    <t>Pedro Sampaio</t>
  </si>
  <si>
    <t>VICENTE PAULO DA SILVA</t>
  </si>
  <si>
    <t>VITOR EMANUEL DA SILVA XAVIER</t>
  </si>
  <si>
    <t>ANA MARIA DA SILVA</t>
  </si>
  <si>
    <t>BRUNA FRANCO PAULINO DOS SANTOS</t>
  </si>
  <si>
    <t>AFASTADO</t>
  </si>
  <si>
    <t>GILBERTO RODRIGUES DE MELO</t>
  </si>
  <si>
    <t>JOVIANO FERREIRA MACHADO</t>
  </si>
  <si>
    <t>SARA REGINA DA SILVA LOBATO</t>
  </si>
  <si>
    <t>Vinicius de Oliveira</t>
  </si>
  <si>
    <t>LETICIA CAROLINE CUNHA SILVA</t>
  </si>
  <si>
    <t>Wilgner Silva</t>
  </si>
  <si>
    <t>WILGNER ROBERTO TAYLON DA SILVA</t>
  </si>
  <si>
    <t>Lucas Ferreira</t>
  </si>
  <si>
    <t>MARIA LAURA GOMES VIEIRA</t>
  </si>
  <si>
    <t>Pedro Coelho</t>
  </si>
  <si>
    <t>RAISSA SANTOS OLIVEIRA</t>
  </si>
  <si>
    <t>EVANIO ALMEIDA SANTOS</t>
  </si>
  <si>
    <t>PLANT CONTROLLER</t>
  </si>
  <si>
    <t>KAIQUE VIANA FERREIRA</t>
  </si>
  <si>
    <t>Ana Beatriz Lima Silva</t>
  </si>
  <si>
    <t>Anderson Amaral</t>
  </si>
  <si>
    <t>Elker Juscelino</t>
  </si>
  <si>
    <t>Heber Araujo</t>
  </si>
  <si>
    <t>HEBER DE ARAUJO</t>
  </si>
  <si>
    <t>Diego Santos</t>
  </si>
  <si>
    <t>Leticia Teodoro</t>
  </si>
  <si>
    <t>Edilson Souza</t>
  </si>
  <si>
    <t>Henrique Oliveira</t>
  </si>
  <si>
    <t>Rafael Silva</t>
  </si>
  <si>
    <t>Vinicius Aleixo</t>
  </si>
  <si>
    <t>Joao Rodrigues</t>
  </si>
  <si>
    <t>BIANCA PIERAZO E SILVA</t>
  </si>
  <si>
    <t>DIOGO OLIVEIRA DA SILVA</t>
  </si>
  <si>
    <t>RICARDO BAPTISTA NISHIDA</t>
  </si>
  <si>
    <t>DOUGLAS HENRIQUE DESTEFANI</t>
  </si>
  <si>
    <t>HIAGO DA SILVA DANTAS</t>
  </si>
  <si>
    <t>EMILLY TAYNA SIBELLY LIDYSEI DA SILVA</t>
  </si>
  <si>
    <t>FELIPE LEONEL CUZZUOL</t>
  </si>
  <si>
    <t>GEAN DOMINGOS DA SILVA</t>
  </si>
  <si>
    <t>IRANILDO LOPES COSTA</t>
  </si>
  <si>
    <t>JOSE DE RIBAMAR BARROS JUNIOR</t>
  </si>
  <si>
    <t>JULHO CESAR SILVA</t>
  </si>
  <si>
    <t>LAIS ALVES MACHADO SILVEIRA</t>
  </si>
  <si>
    <t>PABLULO JUNIOR DE ANDRADE</t>
  </si>
  <si>
    <t>PEDRO HENRIQUE DA MATA FERREIRA</t>
  </si>
  <si>
    <t>RICARDO BARBOSA DE AZEVEDO</t>
  </si>
  <si>
    <t>ROMERO RIBEIRO CHAVES</t>
  </si>
  <si>
    <t>VALDECI JUSTINO SIMOES</t>
  </si>
  <si>
    <t>WEVERTON MEDEIRO</t>
  </si>
  <si>
    <t>LEANDRO DE PAULA FREIRE</t>
  </si>
  <si>
    <t>FB0167876</t>
  </si>
  <si>
    <t>Ação cancelada em alinhamento com o Caio, coordenador de qualidade.</t>
  </si>
  <si>
    <t>Environment</t>
  </si>
  <si>
    <t>FB0168787</t>
  </si>
  <si>
    <t>Melhoria na tubulação de água para direciona-la para fora da região do vidro nas próximas reformas</t>
  </si>
  <si>
    <t>Feedback to design (MP x IM) - Melhoria na tubulação de água para direciona-la para fora da região do vidro nas próximas reformas.
Avaliar viabilidade de implementação.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</si>
</sst>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416]d\-mmm\-yy;@"/>
  </numFmts>
  <fonts count="13" x14ac:knownFonts="1">
    <font>
      <sz val="11"/>
      <color indexed="8"/>
      <name val="Aptos Narrow"/>
      <family val="2"/>
      <scheme val="minor"/>
    </font>
    <font>
      <b/>
      <sz val="11"/>
      <name val="Calibri"/>
      <family val="2"/>
    </font>
    <font>
      <b/>
      <sz val="11"/>
      <color rgb="FF000000"/>
      <name val="Aptos Narrow"/>
      <family val="2"/>
      <scheme val="minor"/>
    </font>
    <font>
      <b/>
      <sz val="11"/>
      <color indexed="8"/>
      <name val="Aptos Narrow"/>
      <family val="2"/>
      <scheme val="minor"/>
    </font>
    <font>
      <sz val="8"/>
      <name val="Aptos Narrow"/>
      <family val="2"/>
      <scheme val="minor"/>
    </font>
    <font>
      <sz val="11"/>
      <color rgb="FF000000"/>
      <name val="Aptos Narrow"/>
      <family val="2"/>
    </font>
    <font>
      <b/>
      <sz val="11"/>
      <color theme="1"/>
      <name val="Aptos Narrow"/>
      <family val="2"/>
      <scheme val="minor"/>
    </font>
    <font>
      <sz val="11"/>
      <color rgb="FF000000"/>
      <name val="Calibri"/>
      <family val="2"/>
    </font>
    <font>
      <b/>
      <sz val="10"/>
      <color rgb="FF000000"/>
      <name val="Calibri"/>
      <family val="2"/>
    </font>
    <font>
      <sz val="10"/>
      <name val="Calibri"/>
      <family val="2"/>
    </font>
    <font>
      <sz val="10"/>
      <color rgb="FF000000"/>
      <name val="Calibri"/>
      <family val="2"/>
    </font>
    <font>
      <sz val="11"/>
      <color rgb="FF000000"/>
      <name val="Aptos Narrow"/>
      <family val="2"/>
      <scheme val="minor"/>
    </font>
    <font>
      <b/>
      <sz val="11"/>
      <name val="Calibri"/>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rgb="FFFFC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bottom style="thin">
        <color theme="4" tint="0.3999755851924192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53">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applyAlignment="1">
      <alignment vertical="top"/>
    </xf>
    <xf numFmtId="49" fontId="0" fillId="0" borderId="0" xfId="0" applyNumberFormat="1" applyAlignment="1">
      <alignment vertical="top" wrapText="1"/>
    </xf>
    <xf numFmtId="0" fontId="3" fillId="2" borderId="0" xfId="0" applyFont="1" applyFill="1" applyAlignment="1">
      <alignment horizontal="center"/>
    </xf>
    <xf numFmtId="0" fontId="3" fillId="2" borderId="0" xfId="0" applyFont="1" applyFill="1"/>
    <xf numFmtId="0" fontId="0" fillId="0" borderId="0" xfId="0" applyAlignment="1">
      <alignment horizontal="center" vertical="top"/>
    </xf>
    <xf numFmtId="2" fontId="0" fillId="0" borderId="0" xfId="0" applyNumberFormat="1" applyAlignment="1">
      <alignment horizontal="center" vertical="top"/>
    </xf>
    <xf numFmtId="0" fontId="3" fillId="0" borderId="0" xfId="0" applyFont="1"/>
    <xf numFmtId="0" fontId="0" fillId="0" borderId="1" xfId="0" applyBorder="1"/>
    <xf numFmtId="49" fontId="5" fillId="0" borderId="0" xfId="0" applyNumberFormat="1" applyFont="1" applyAlignment="1">
      <alignment vertical="top" wrapText="1"/>
    </xf>
    <xf numFmtId="164" fontId="0" fillId="0" borderId="0" xfId="0" applyNumberFormat="1" applyAlignment="1">
      <alignment horizontal="center" vertical="top"/>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3" fillId="3" borderId="4" xfId="0" applyFont="1" applyFill="1" applyBorder="1" applyAlignment="1">
      <alignment horizontal="center"/>
    </xf>
    <xf numFmtId="0" fontId="6" fillId="4" borderId="5" xfId="0" applyFont="1" applyFill="1" applyBorder="1"/>
    <xf numFmtId="0" fontId="3" fillId="0" borderId="3" xfId="0" applyFont="1" applyBorder="1" applyAlignment="1">
      <alignment horizontal="center"/>
    </xf>
    <xf numFmtId="9" fontId="3" fillId="2" borderId="3" xfId="0" applyNumberFormat="1" applyFont="1" applyFill="1" applyBorder="1" applyAlignment="1">
      <alignment horizontal="center"/>
    </xf>
    <xf numFmtId="9" fontId="3" fillId="2" borderId="6" xfId="0" applyNumberFormat="1" applyFont="1" applyFill="1" applyBorder="1" applyAlignment="1">
      <alignment horizontal="center"/>
    </xf>
    <xf numFmtId="0" fontId="3" fillId="0" borderId="7" xfId="0" applyFont="1" applyBorder="1" applyAlignment="1">
      <alignment horizontal="center"/>
    </xf>
    <xf numFmtId="0" fontId="7" fillId="0" borderId="10" xfId="0" applyFont="1" applyBorder="1" applyAlignment="1">
      <alignment horizontal="left" vertical="top"/>
    </xf>
    <xf numFmtId="0" fontId="8" fillId="0" borderId="9" xfId="0" applyFont="1" applyBorder="1" applyAlignment="1">
      <alignment horizontal="center" vertical="top"/>
    </xf>
    <xf numFmtId="0" fontId="8" fillId="0" borderId="11" xfId="0" applyFont="1" applyBorder="1" applyAlignment="1">
      <alignment horizontal="center" vertical="top"/>
    </xf>
    <xf numFmtId="0" fontId="7" fillId="0" borderId="8" xfId="0" applyFont="1" applyBorder="1" applyAlignment="1">
      <alignment horizontal="left" vertical="top"/>
    </xf>
    <xf numFmtId="0" fontId="9" fillId="0" borderId="1" xfId="0" applyFont="1" applyBorder="1"/>
    <xf numFmtId="0" fontId="10" fillId="0" borderId="1" xfId="0" applyFont="1" applyBorder="1" applyAlignment="1">
      <alignment vertical="top"/>
    </xf>
    <xf numFmtId="0" fontId="9" fillId="0" borderId="12" xfId="0" applyFont="1" applyBorder="1"/>
    <xf numFmtId="0" fontId="7" fillId="0" borderId="8" xfId="0" applyFont="1" applyBorder="1" applyAlignment="1">
      <alignment horizontal="left" vertical="top" wrapText="1"/>
    </xf>
    <xf numFmtId="0" fontId="10" fillId="0" borderId="1" xfId="0" applyFont="1" applyBorder="1"/>
    <xf numFmtId="0" fontId="7" fillId="0" borderId="8" xfId="0" applyFont="1" applyBorder="1" applyAlignment="1">
      <alignment vertical="top"/>
    </xf>
    <xf numFmtId="0" fontId="11" fillId="0" borderId="8" xfId="0" applyFont="1" applyBorder="1" applyAlignment="1">
      <alignment horizontal="left" vertical="top"/>
    </xf>
    <xf numFmtId="0" fontId="11" fillId="0" borderId="8" xfId="0" applyFont="1" applyBorder="1" applyAlignment="1">
      <alignment horizontal="left" vertical="top" wrapText="1"/>
    </xf>
    <xf numFmtId="0" fontId="11" fillId="0" borderId="8" xfId="0" applyFont="1" applyBorder="1" applyAlignment="1">
      <alignment vertical="top"/>
    </xf>
    <xf numFmtId="0" fontId="7" fillId="0" borderId="13" xfId="0" applyFont="1" applyBorder="1" applyAlignment="1">
      <alignment horizontal="left" vertical="top"/>
    </xf>
    <xf numFmtId="0" fontId="10" fillId="0" borderId="4" xfId="0" applyFont="1" applyBorder="1"/>
    <xf numFmtId="0" fontId="9" fillId="0" borderId="2" xfId="0" applyFont="1" applyBorder="1"/>
    <xf numFmtId="0" fontId="9" fillId="0" borderId="4" xfId="0" applyFont="1" applyBorder="1"/>
    <xf numFmtId="14" fontId="1" fillId="0" borderId="0" xfId="0" applyNumberFormat="1" applyFont="1" applyAlignment="1">
      <alignment wrapText="1"/>
    </xf>
    <xf numFmtId="165" fontId="0" fillId="0" borderId="0" xfId="0" applyNumberFormat="1" applyAlignment="1">
      <alignment wrapText="1"/>
    </xf>
    <xf numFmtId="0" fontId="1" fillId="0" borderId="0" xfId="0" applyFont="1" applyAlignment="1">
      <alignment horizontal="center" vertical="center"/>
    </xf>
    <xf numFmtId="164" fontId="0" fillId="0" borderId="0" xfId="0" applyNumberFormat="1" applyAlignment="1">
      <alignment horizontal="center" vertical="center"/>
    </xf>
    <xf numFmtId="0" fontId="12" fillId="0" borderId="0" xfId="0" applyFont="1"/>
    <xf numFmtId="0" fontId="0" fillId="0" borderId="0" xfId="0" applyAlignment="1">
      <alignment horizontal="center" vertical="center"/>
    </xf>
    <xf numFmtId="0" fontId="0" fillId="0" borderId="12" xfId="0" applyBorder="1"/>
    <xf numFmtId="0" fontId="8" fillId="0" borderId="1" xfId="0" applyFont="1" applyBorder="1" applyAlignment="1">
      <alignment horizontal="center" vertical="top"/>
    </xf>
    <xf numFmtId="0" fontId="0" fillId="0" borderId="1" xfId="0" applyBorder="1" applyAlignment="1">
      <alignment horizontal="center" vertical="center"/>
    </xf>
    <xf numFmtId="0" fontId="0" fillId="0" borderId="4" xfId="0" applyBorder="1"/>
    <xf numFmtId="0" fontId="10" fillId="5" borderId="1" xfId="0" applyFont="1" applyFill="1" applyBorder="1"/>
    <xf numFmtId="0" fontId="3" fillId="2" borderId="0" xfId="0" applyFont="1" applyFill="1" applyAlignment="1">
      <alignment horizontal="center"/>
    </xf>
    <xf numFmtId="0" fontId="0" fillId="0" borderId="3" xfId="0" applyBorder="1" applyAlignment="1">
      <alignment horizontal="center"/>
    </xf>
  </cellXfs>
  <cellStyles count="1">
    <cellStyle name="Normal" xfId="0" builtinId="0"/>
  </cellStyles>
  <dxfs count="51">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00000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top" textRotation="0" wrapText="0" indent="0" justifyLastLine="0" shrinkToFit="0" readingOrder="0"/>
    </dxf>
    <dxf>
      <numFmt numFmtId="30" formatCode="@"/>
      <alignment horizontal="general" vertical="top" textRotation="0" wrapText="1" indent="0" justifyLastLine="0" shrinkToFit="0" readingOrder="0"/>
    </dxf>
    <dxf>
      <numFmt numFmtId="164" formatCode="dd\-mm\-yyyy\ hh:mm:ss"/>
      <alignment horizontal="general" vertical="top" textRotation="0" wrapText="0" indent="0" justifyLastLine="0" shrinkToFit="0" readingOrder="0"/>
    </dxf>
    <dxf>
      <numFmt numFmtId="164" formatCode="dd\-mm\-yyyy\ hh:mm:ss"/>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164" formatCode="dd\-mm\-yyyy\ hh:mm:ss"/>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font>
        <b/>
        <i val="0"/>
        <strike val="0"/>
        <condense val="0"/>
        <extend val="0"/>
        <outline val="0"/>
        <shadow val="0"/>
        <u val="none"/>
        <vertAlign val="baseline"/>
        <sz val="11"/>
        <color auto="1"/>
        <name val="Calibri"/>
        <scheme val="none"/>
      </font>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165" formatCode="[$-416]d\-mmm\-yy;@"/>
      <alignment wrapText="1"/>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font>
        <b/>
        <i val="0"/>
        <strike val="0"/>
        <condense val="0"/>
        <extend val="0"/>
        <outline val="0"/>
        <shadow val="0"/>
        <u val="none"/>
        <vertAlign val="baseline"/>
        <sz val="11"/>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SHOPFLOOR VS.</a:t>
            </a:r>
            <a:r>
              <a:rPr lang="pt-BR" baseline="0"/>
              <a:t> STAFF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7E-4E52-966B-9518CA984D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7E-4E52-966B-9518CA984D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Operação x adm'!$A$8:$A$9</c:f>
              <c:strCache>
                <c:ptCount val="2"/>
                <c:pt idx="0">
                  <c:v>ADM/TÉCNICO/ASSISTENTE/ESTAG.</c:v>
                </c:pt>
                <c:pt idx="1">
                  <c:v>OPERAÇÃO</c:v>
                </c:pt>
              </c:strCache>
            </c:strRef>
          </c:cat>
          <c:val>
            <c:numRef>
              <c:f>'% Operação x adm'!$B$8:$B$9</c:f>
              <c:numCache>
                <c:formatCode>General</c:formatCode>
                <c:ptCount val="2"/>
                <c:pt idx="0">
                  <c:v>50</c:v>
                </c:pt>
                <c:pt idx="1">
                  <c:v>95</c:v>
                </c:pt>
              </c:numCache>
            </c:numRef>
          </c:val>
          <c:extLst>
            <c:ext xmlns:c16="http://schemas.microsoft.com/office/drawing/2014/chart" uri="{C3380CC4-5D6E-409C-BE32-E72D297353CC}">
              <c16:uniqueId val="{00000000-52EC-4075-ACBC-A847413BE5F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[KPIS DASH - PROGRAMA DE IDEIAS.xlsx]Ideias por categorias!Tabela dinâmica4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Categorias</a:t>
            </a:r>
          </a:p>
        </c:rich>
      </c:tx>
      <c:layout>
        <c:manualLayout>
          <c:xMode val="edge"/>
          <c:yMode val="edge"/>
          <c:x val="0.49770343248307025"/>
          <c:y val="4.56621004566210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01693586901944"/>
          <c:y val="0.18840757918958759"/>
          <c:w val="0.7867259360853609"/>
          <c:h val="0.66346744328191853"/>
        </c:manualLayout>
      </c:layout>
      <c:barChart>
        <c:barDir val="bar"/>
        <c:grouping val="stacked"/>
        <c:varyColors val="0"/>
        <c:ser>
          <c:idx val="0"/>
          <c:order val="0"/>
          <c:tx>
            <c:strRef>
              <c:f>'Ideias por categorias'!$B$3:$B$4</c:f>
              <c:strCache>
                <c:ptCount val="1"/>
                <c:pt idx="0">
                  <c:v>INVALUABLE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 por categorias'!$A$5:$A$15</c:f>
              <c:strCache>
                <c:ptCount val="10"/>
                <c:pt idx="0">
                  <c:v>Cost (GE, rework)</c:v>
                </c:pt>
                <c:pt idx="1">
                  <c:v>Energy efficiency</c:v>
                </c:pt>
                <c:pt idx="2">
                  <c:v>Meio Ambiente</c:v>
                </c:pt>
                <c:pt idx="3">
                  <c:v>Organisation of work</c:v>
                </c:pt>
                <c:pt idx="4">
                  <c:v>Processo</c:v>
                </c:pt>
                <c:pt idx="5">
                  <c:v>Product</c:v>
                </c:pt>
                <c:pt idx="6">
                  <c:v>Qualidade</c:v>
                </c:pt>
                <c:pt idx="7">
                  <c:v>Safety - Health</c:v>
                </c:pt>
                <c:pt idx="8">
                  <c:v>Yeld</c:v>
                </c:pt>
                <c:pt idx="9">
                  <c:v>New software</c:v>
                </c:pt>
              </c:strCache>
            </c:strRef>
          </c:cat>
          <c:val>
            <c:numRef>
              <c:f>'Ideias por categorias'!$B$5:$B$15</c:f>
              <c:numCache>
                <c:formatCode>General</c:formatCode>
                <c:ptCount val="10"/>
                <c:pt idx="0">
                  <c:v>3</c:v>
                </c:pt>
                <c:pt idx="3">
                  <c:v>8</c:v>
                </c:pt>
                <c:pt idx="4">
                  <c:v>5</c:v>
                </c:pt>
                <c:pt idx="5">
                  <c:v>1</c:v>
                </c:pt>
                <c:pt idx="6">
                  <c:v>3</c:v>
                </c:pt>
                <c:pt idx="7">
                  <c:v>9</c:v>
                </c:pt>
              </c:numCache>
            </c:numRef>
          </c:val>
          <c:extLst>
            <c:ext xmlns:c16="http://schemas.microsoft.com/office/drawing/2014/chart" uri="{C3380CC4-5D6E-409C-BE32-E72D297353CC}">
              <c16:uniqueId val="{00000000-2009-4C47-94B3-2BAD1DF696C9}"/>
            </c:ext>
          </c:extLst>
        </c:ser>
        <c:ser>
          <c:idx val="1"/>
          <c:order val="1"/>
          <c:tx>
            <c:strRef>
              <c:f>'Ideias por categorias'!$C$3:$C$4</c:f>
              <c:strCache>
                <c:ptCount val="1"/>
                <c:pt idx="0">
                  <c:v>IN PROGRESS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 por categorias'!$A$5:$A$15</c:f>
              <c:strCache>
                <c:ptCount val="10"/>
                <c:pt idx="0">
                  <c:v>Cost (GE, rework)</c:v>
                </c:pt>
                <c:pt idx="1">
                  <c:v>Energy efficiency</c:v>
                </c:pt>
                <c:pt idx="2">
                  <c:v>Meio Ambiente</c:v>
                </c:pt>
                <c:pt idx="3">
                  <c:v>Organisation of work</c:v>
                </c:pt>
                <c:pt idx="4">
                  <c:v>Processo</c:v>
                </c:pt>
                <c:pt idx="5">
                  <c:v>Product</c:v>
                </c:pt>
                <c:pt idx="6">
                  <c:v>Qualidade</c:v>
                </c:pt>
                <c:pt idx="7">
                  <c:v>Safety - Health</c:v>
                </c:pt>
                <c:pt idx="8">
                  <c:v>Yeld</c:v>
                </c:pt>
                <c:pt idx="9">
                  <c:v>New software</c:v>
                </c:pt>
              </c:strCache>
            </c:strRef>
          </c:cat>
          <c:val>
            <c:numRef>
              <c:f>'Ideias por categorias'!$C$5:$C$15</c:f>
              <c:numCache>
                <c:formatCode>General</c:formatCode>
                <c:ptCount val="10"/>
                <c:pt idx="0">
                  <c:v>10</c:v>
                </c:pt>
                <c:pt idx="3">
                  <c:v>15</c:v>
                </c:pt>
                <c:pt idx="4">
                  <c:v>7</c:v>
                </c:pt>
                <c:pt idx="5">
                  <c:v>1</c:v>
                </c:pt>
                <c:pt idx="6">
                  <c:v>7</c:v>
                </c:pt>
                <c:pt idx="7">
                  <c:v>11</c:v>
                </c:pt>
                <c:pt idx="8">
                  <c:v>2</c:v>
                </c:pt>
              </c:numCache>
            </c:numRef>
          </c:val>
          <c:extLst>
            <c:ext xmlns:c16="http://schemas.microsoft.com/office/drawing/2014/chart" uri="{C3380CC4-5D6E-409C-BE32-E72D297353CC}">
              <c16:uniqueId val="{00000001-2009-4C47-94B3-2BAD1DF696C9}"/>
            </c:ext>
          </c:extLst>
        </c:ser>
        <c:ser>
          <c:idx val="2"/>
          <c:order val="2"/>
          <c:tx>
            <c:strRef>
              <c:f>'Ideias por categorias'!$D$3:$D$4</c:f>
              <c:strCache>
                <c:ptCount val="1"/>
                <c:pt idx="0">
                  <c:v>CLOSED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 por categorias'!$A$5:$A$15</c:f>
              <c:strCache>
                <c:ptCount val="10"/>
                <c:pt idx="0">
                  <c:v>Cost (GE, rework)</c:v>
                </c:pt>
                <c:pt idx="1">
                  <c:v>Energy efficiency</c:v>
                </c:pt>
                <c:pt idx="2">
                  <c:v>Meio Ambiente</c:v>
                </c:pt>
                <c:pt idx="3">
                  <c:v>Organisation of work</c:v>
                </c:pt>
                <c:pt idx="4">
                  <c:v>Processo</c:v>
                </c:pt>
                <c:pt idx="5">
                  <c:v>Product</c:v>
                </c:pt>
                <c:pt idx="6">
                  <c:v>Qualidade</c:v>
                </c:pt>
                <c:pt idx="7">
                  <c:v>Safety - Health</c:v>
                </c:pt>
                <c:pt idx="8">
                  <c:v>Yeld</c:v>
                </c:pt>
                <c:pt idx="9">
                  <c:v>New software</c:v>
                </c:pt>
              </c:strCache>
            </c:strRef>
          </c:cat>
          <c:val>
            <c:numRef>
              <c:f>'Ideias por categorias'!$D$5:$D$15</c:f>
              <c:numCache>
                <c:formatCode>General</c:formatCode>
                <c:ptCount val="10"/>
                <c:pt idx="0">
                  <c:v>1</c:v>
                </c:pt>
                <c:pt idx="1">
                  <c:v>1</c:v>
                </c:pt>
                <c:pt idx="3">
                  <c:v>1</c:v>
                </c:pt>
                <c:pt idx="4">
                  <c:v>2</c:v>
                </c:pt>
                <c:pt idx="7">
                  <c:v>1</c:v>
                </c:pt>
              </c:numCache>
            </c:numRef>
          </c:val>
          <c:extLst>
            <c:ext xmlns:c16="http://schemas.microsoft.com/office/drawing/2014/chart" uri="{C3380CC4-5D6E-409C-BE32-E72D297353CC}">
              <c16:uniqueId val="{00000002-2009-4C47-94B3-2BAD1DF696C9}"/>
            </c:ext>
          </c:extLst>
        </c:ser>
        <c:ser>
          <c:idx val="3"/>
          <c:order val="3"/>
          <c:tx>
            <c:strRef>
              <c:f>'Ideias por categorias'!$E$3:$E$4</c:f>
              <c:strCache>
                <c:ptCount val="1"/>
                <c:pt idx="0">
                  <c:v>REALIZED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 por categorias'!$A$5:$A$15</c:f>
              <c:strCache>
                <c:ptCount val="10"/>
                <c:pt idx="0">
                  <c:v>Cost (GE, rework)</c:v>
                </c:pt>
                <c:pt idx="1">
                  <c:v>Energy efficiency</c:v>
                </c:pt>
                <c:pt idx="2">
                  <c:v>Meio Ambiente</c:v>
                </c:pt>
                <c:pt idx="3">
                  <c:v>Organisation of work</c:v>
                </c:pt>
                <c:pt idx="4">
                  <c:v>Processo</c:v>
                </c:pt>
                <c:pt idx="5">
                  <c:v>Product</c:v>
                </c:pt>
                <c:pt idx="6">
                  <c:v>Qualidade</c:v>
                </c:pt>
                <c:pt idx="7">
                  <c:v>Safety - Health</c:v>
                </c:pt>
                <c:pt idx="8">
                  <c:v>Yeld</c:v>
                </c:pt>
                <c:pt idx="9">
                  <c:v>New software</c:v>
                </c:pt>
              </c:strCache>
            </c:strRef>
          </c:cat>
          <c:val>
            <c:numRef>
              <c:f>'Ideias por categorias'!$E$5:$E$15</c:f>
              <c:numCache>
                <c:formatCode>General</c:formatCode>
                <c:ptCount val="10"/>
                <c:pt idx="0">
                  <c:v>6</c:v>
                </c:pt>
                <c:pt idx="2">
                  <c:v>1</c:v>
                </c:pt>
                <c:pt idx="3">
                  <c:v>14</c:v>
                </c:pt>
                <c:pt idx="4">
                  <c:v>10</c:v>
                </c:pt>
                <c:pt idx="5">
                  <c:v>1</c:v>
                </c:pt>
                <c:pt idx="6">
                  <c:v>5</c:v>
                </c:pt>
                <c:pt idx="7">
                  <c:v>6</c:v>
                </c:pt>
                <c:pt idx="8">
                  <c:v>1</c:v>
                </c:pt>
                <c:pt idx="9">
                  <c:v>2</c:v>
                </c:pt>
              </c:numCache>
            </c:numRef>
          </c:val>
          <c:extLst>
            <c:ext xmlns:c16="http://schemas.microsoft.com/office/drawing/2014/chart" uri="{C3380CC4-5D6E-409C-BE32-E72D297353CC}">
              <c16:uniqueId val="{00000001-2E38-4650-9F2E-94381C15FC37}"/>
            </c:ext>
          </c:extLst>
        </c:ser>
        <c:dLbls>
          <c:dLblPos val="ctr"/>
          <c:showLegendKey val="0"/>
          <c:showVal val="1"/>
          <c:showCatName val="0"/>
          <c:showSerName val="0"/>
          <c:showPercent val="0"/>
          <c:showBubbleSize val="0"/>
        </c:dLbls>
        <c:gapWidth val="150"/>
        <c:overlap val="100"/>
        <c:axId val="126123615"/>
        <c:axId val="126128895"/>
      </c:barChart>
      <c:catAx>
        <c:axId val="126123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6128895"/>
        <c:crosses val="autoZero"/>
        <c:auto val="1"/>
        <c:lblAlgn val="ctr"/>
        <c:lblOffset val="100"/>
        <c:noMultiLvlLbl val="0"/>
      </c:catAx>
      <c:valAx>
        <c:axId val="126128895"/>
        <c:scaling>
          <c:orientation val="minMax"/>
        </c:scaling>
        <c:delete val="1"/>
        <c:axPos val="b"/>
        <c:numFmt formatCode="General" sourceLinked="1"/>
        <c:majorTickMark val="out"/>
        <c:minorTickMark val="none"/>
        <c:tickLblPos val="nextTo"/>
        <c:crossAx val="126123615"/>
        <c:crosses val="autoZero"/>
        <c:crossBetween val="between"/>
      </c:valAx>
      <c:spPr>
        <a:noFill/>
        <a:ln>
          <a:noFill/>
        </a:ln>
        <a:effectLst/>
      </c:spPr>
    </c:plotArea>
    <c:legend>
      <c:legendPos val="b"/>
      <c:layout>
        <c:manualLayout>
          <c:xMode val="edge"/>
          <c:yMode val="edge"/>
          <c:x val="0.39311495083332315"/>
          <c:y val="0.87029842160140947"/>
          <c:w val="0.3934416096535257"/>
          <c:h val="6.6277068354508958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CATEGORIES</a:t>
            </a:r>
          </a:p>
        </c:rich>
      </c:tx>
      <c:layout>
        <c:manualLayout>
          <c:xMode val="edge"/>
          <c:yMode val="edge"/>
          <c:x val="0.36409779197180769"/>
          <c:y val="1.95121951219512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24548153895752622"/>
          <c:y val="0.18160278745644601"/>
          <c:w val="0.71132623342276524"/>
          <c:h val="0.61401446770373214"/>
        </c:manualLayout>
      </c:layout>
      <c:barChart>
        <c:barDir val="bar"/>
        <c:grouping val="stacked"/>
        <c:varyColors val="0"/>
        <c:ser>
          <c:idx val="0"/>
          <c:order val="0"/>
          <c:tx>
            <c:strRef>
              <c:f>'Ideias por categorias'!$B$17</c:f>
              <c:strCache>
                <c:ptCount val="1"/>
                <c:pt idx="0">
                  <c:v>INVALUABLE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 por categorias'!$A$18:$A$25</c:f>
              <c:strCache>
                <c:ptCount val="8"/>
                <c:pt idx="0">
                  <c:v>Cost (GE, rework)</c:v>
                </c:pt>
                <c:pt idx="1">
                  <c:v>Meio Ambiente</c:v>
                </c:pt>
                <c:pt idx="2">
                  <c:v>Organisation of work</c:v>
                </c:pt>
                <c:pt idx="3">
                  <c:v>Processo</c:v>
                </c:pt>
                <c:pt idx="4">
                  <c:v>Product</c:v>
                </c:pt>
                <c:pt idx="5">
                  <c:v>Qualidade</c:v>
                </c:pt>
                <c:pt idx="6">
                  <c:v>Safety - Health</c:v>
                </c:pt>
                <c:pt idx="7">
                  <c:v>Yeld</c:v>
                </c:pt>
              </c:strCache>
            </c:strRef>
          </c:cat>
          <c:val>
            <c:numRef>
              <c:f>'Ideias por categorias'!$B$18:$B$25</c:f>
              <c:numCache>
                <c:formatCode>General</c:formatCode>
                <c:ptCount val="8"/>
                <c:pt idx="0">
                  <c:v>3</c:v>
                </c:pt>
                <c:pt idx="2">
                  <c:v>4</c:v>
                </c:pt>
                <c:pt idx="3">
                  <c:v>5</c:v>
                </c:pt>
                <c:pt idx="4">
                  <c:v>1</c:v>
                </c:pt>
                <c:pt idx="5">
                  <c:v>2</c:v>
                </c:pt>
                <c:pt idx="6">
                  <c:v>8</c:v>
                </c:pt>
              </c:numCache>
            </c:numRef>
          </c:val>
          <c:extLst>
            <c:ext xmlns:c16="http://schemas.microsoft.com/office/drawing/2014/chart" uri="{C3380CC4-5D6E-409C-BE32-E72D297353CC}">
              <c16:uniqueId val="{00000000-79B9-470F-B746-82710AF7EE6A}"/>
            </c:ext>
          </c:extLst>
        </c:ser>
        <c:ser>
          <c:idx val="1"/>
          <c:order val="1"/>
          <c:tx>
            <c:strRef>
              <c:f>'Ideias por categorias'!$C$17</c:f>
              <c:strCache>
                <c:ptCount val="1"/>
                <c:pt idx="0">
                  <c:v>IN PROGRESS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 por categorias'!$A$18:$A$25</c:f>
              <c:strCache>
                <c:ptCount val="8"/>
                <c:pt idx="0">
                  <c:v>Cost (GE, rework)</c:v>
                </c:pt>
                <c:pt idx="1">
                  <c:v>Meio Ambiente</c:v>
                </c:pt>
                <c:pt idx="2">
                  <c:v>Organisation of work</c:v>
                </c:pt>
                <c:pt idx="3">
                  <c:v>Processo</c:v>
                </c:pt>
                <c:pt idx="4">
                  <c:v>Product</c:v>
                </c:pt>
                <c:pt idx="5">
                  <c:v>Qualidade</c:v>
                </c:pt>
                <c:pt idx="6">
                  <c:v>Safety - Health</c:v>
                </c:pt>
                <c:pt idx="7">
                  <c:v>Yeld</c:v>
                </c:pt>
              </c:strCache>
            </c:strRef>
          </c:cat>
          <c:val>
            <c:numRef>
              <c:f>'Ideias por categorias'!$C$18:$C$25</c:f>
              <c:numCache>
                <c:formatCode>General</c:formatCode>
                <c:ptCount val="8"/>
                <c:pt idx="0">
                  <c:v>8</c:v>
                </c:pt>
                <c:pt idx="2">
                  <c:v>10</c:v>
                </c:pt>
                <c:pt idx="3">
                  <c:v>7</c:v>
                </c:pt>
                <c:pt idx="4">
                  <c:v>1</c:v>
                </c:pt>
                <c:pt idx="5">
                  <c:v>8</c:v>
                </c:pt>
                <c:pt idx="6">
                  <c:v>10</c:v>
                </c:pt>
                <c:pt idx="7">
                  <c:v>2</c:v>
                </c:pt>
              </c:numCache>
            </c:numRef>
          </c:val>
          <c:extLst>
            <c:ext xmlns:c16="http://schemas.microsoft.com/office/drawing/2014/chart" uri="{C3380CC4-5D6E-409C-BE32-E72D297353CC}">
              <c16:uniqueId val="{00000001-79B9-470F-B746-82710AF7EE6A}"/>
            </c:ext>
          </c:extLst>
        </c:ser>
        <c:ser>
          <c:idx val="2"/>
          <c:order val="2"/>
          <c:tx>
            <c:strRef>
              <c:f>'Ideias por categorias'!$D$17</c:f>
              <c:strCache>
                <c:ptCount val="1"/>
                <c:pt idx="0">
                  <c:v>REALIZED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 por categorias'!$A$18:$A$25</c:f>
              <c:strCache>
                <c:ptCount val="8"/>
                <c:pt idx="0">
                  <c:v>Cost (GE, rework)</c:v>
                </c:pt>
                <c:pt idx="1">
                  <c:v>Meio Ambiente</c:v>
                </c:pt>
                <c:pt idx="2">
                  <c:v>Organisation of work</c:v>
                </c:pt>
                <c:pt idx="3">
                  <c:v>Processo</c:v>
                </c:pt>
                <c:pt idx="4">
                  <c:v>Product</c:v>
                </c:pt>
                <c:pt idx="5">
                  <c:v>Qualidade</c:v>
                </c:pt>
                <c:pt idx="6">
                  <c:v>Safety - Health</c:v>
                </c:pt>
                <c:pt idx="7">
                  <c:v>Yeld</c:v>
                </c:pt>
              </c:strCache>
            </c:strRef>
          </c:cat>
          <c:val>
            <c:numRef>
              <c:f>'Ideias por categorias'!$D$18:$D$25</c:f>
              <c:numCache>
                <c:formatCode>General</c:formatCode>
                <c:ptCount val="8"/>
                <c:pt idx="0">
                  <c:v>7</c:v>
                </c:pt>
                <c:pt idx="1">
                  <c:v>2</c:v>
                </c:pt>
                <c:pt idx="2">
                  <c:v>7</c:v>
                </c:pt>
                <c:pt idx="3">
                  <c:v>10</c:v>
                </c:pt>
                <c:pt idx="4">
                  <c:v>1</c:v>
                </c:pt>
                <c:pt idx="5">
                  <c:v>4</c:v>
                </c:pt>
                <c:pt idx="6">
                  <c:v>4</c:v>
                </c:pt>
                <c:pt idx="7">
                  <c:v>1</c:v>
                </c:pt>
              </c:numCache>
            </c:numRef>
          </c:val>
          <c:extLst>
            <c:ext xmlns:c16="http://schemas.microsoft.com/office/drawing/2014/chart" uri="{C3380CC4-5D6E-409C-BE32-E72D297353CC}">
              <c16:uniqueId val="{00000002-79B9-470F-B746-82710AF7EE6A}"/>
            </c:ext>
          </c:extLst>
        </c:ser>
        <c:dLbls>
          <c:dLblPos val="ctr"/>
          <c:showLegendKey val="0"/>
          <c:showVal val="1"/>
          <c:showCatName val="0"/>
          <c:showSerName val="0"/>
          <c:showPercent val="0"/>
          <c:showBubbleSize val="0"/>
        </c:dLbls>
        <c:gapWidth val="150"/>
        <c:overlap val="100"/>
        <c:axId val="548152080"/>
        <c:axId val="548155920"/>
      </c:barChart>
      <c:catAx>
        <c:axId val="548152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48155920"/>
        <c:crosses val="autoZero"/>
        <c:auto val="1"/>
        <c:lblAlgn val="ctr"/>
        <c:lblOffset val="100"/>
        <c:noMultiLvlLbl val="0"/>
      </c:catAx>
      <c:valAx>
        <c:axId val="5481559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48152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Associados - IDEIAS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EF-47B6-85E7-63F88404EE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BEF-47B6-85E7-63F88404EEC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'Ideias por associado'!$D$2:$E$2</c:f>
              <c:strCache>
                <c:ptCount val="2"/>
                <c:pt idx="0">
                  <c:v>Associado que criaram ideia</c:v>
                </c:pt>
                <c:pt idx="1">
                  <c:v>Assosciados que não criaram ideias</c:v>
                </c:pt>
              </c:strCache>
            </c:strRef>
          </c:cat>
          <c:val>
            <c:numRef>
              <c:f>'Ideias por associado'!$D$3:$E$3</c:f>
              <c:numCache>
                <c:formatCode>General</c:formatCode>
                <c:ptCount val="2"/>
                <c:pt idx="0">
                  <c:v>56</c:v>
                </c:pt>
                <c:pt idx="1">
                  <c:v>66</c:v>
                </c:pt>
              </c:numCache>
            </c:numRef>
          </c:val>
          <c:extLst>
            <c:ext xmlns:c16="http://schemas.microsoft.com/office/drawing/2014/chart" uri="{C3380CC4-5D6E-409C-BE32-E72D297353CC}">
              <c16:uniqueId val="{00000000-2AD0-4917-9429-6BD4237481D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'Ideias por associado'!$H$2</c:f>
              <c:strCache>
                <c:ptCount val="1"/>
                <c:pt idx="0">
                  <c:v>% de ideias por FTE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'Ideias por associado'!$H$3</c:f>
              <c:numCache>
                <c:formatCode>0.00</c:formatCode>
                <c:ptCount val="1"/>
                <c:pt idx="0">
                  <c:v>1.1147540983606556</c:v>
                </c:pt>
              </c:numCache>
            </c:numRef>
          </c:val>
          <c:extLst>
            <c:ext xmlns:c16="http://schemas.microsoft.com/office/drawing/2014/chart" uri="{C3380CC4-5D6E-409C-BE32-E72D297353CC}">
              <c16:uniqueId val="{00000000-FEE6-4974-8CE4-C503CE704C11}"/>
            </c:ext>
          </c:extLst>
        </c:ser>
        <c:dLbls>
          <c:showLegendKey val="0"/>
          <c:showVal val="1"/>
          <c:showCatName val="0"/>
          <c:showSerName val="0"/>
          <c:showPercent val="0"/>
          <c:showBubbleSize val="0"/>
        </c:dLbls>
        <c:gapWidth val="182"/>
        <c:axId val="826539608"/>
        <c:axId val="826538888"/>
      </c:barChart>
      <c:catAx>
        <c:axId val="826539608"/>
        <c:scaling>
          <c:orientation val="minMax"/>
        </c:scaling>
        <c:delete val="1"/>
        <c:axPos val="l"/>
        <c:majorTickMark val="out"/>
        <c:minorTickMark val="none"/>
        <c:tickLblPos val="nextTo"/>
        <c:crossAx val="826538888"/>
        <c:crosses val="autoZero"/>
        <c:auto val="1"/>
        <c:lblAlgn val="ctr"/>
        <c:lblOffset val="100"/>
        <c:noMultiLvlLbl val="0"/>
      </c:catAx>
      <c:valAx>
        <c:axId val="8265388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26539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[KPIS DASH - PROGRAMA DE IDEIAS.xlsx]Ideias-area!Tabela dinâmica2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000"/>
              <a:t>IDEIAS RECEBIDAS/</a:t>
            </a:r>
            <a:r>
              <a:rPr lang="pt-BR" sz="1000" baseline="0"/>
              <a:t> AREA</a:t>
            </a:r>
            <a:endParaRPr lang="pt-BR"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8092738407701"/>
          <c:y val="0.3131900699912511"/>
          <c:w val="0.78883092738407701"/>
          <c:h val="0.25122010790317878"/>
        </c:manualLayout>
      </c:layout>
      <c:barChart>
        <c:barDir val="col"/>
        <c:grouping val="clustered"/>
        <c:varyColors val="0"/>
        <c:ser>
          <c:idx val="0"/>
          <c:order val="0"/>
          <c:tx>
            <c:strRef>
              <c:f>'Ideias-area'!$B$4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'Ideias-area'!$A$5:$A$29</c:f>
              <c:strCache>
                <c:ptCount val="24"/>
                <c:pt idx="0">
                  <c:v>01. CAFÉ CRU</c:v>
                </c:pt>
                <c:pt idx="1">
                  <c:v>01. JDE CAFES DO BRASIL UNIDADE PIUMHI</c:v>
                </c:pt>
                <c:pt idx="2">
                  <c:v>01. LINHA 01</c:v>
                </c:pt>
                <c:pt idx="3">
                  <c:v>01. TORRADORES</c:v>
                </c:pt>
                <c:pt idx="4">
                  <c:v>02. LINHA 02</c:v>
                </c:pt>
                <c:pt idx="5">
                  <c:v>02. TORREFAÇÃO</c:v>
                </c:pt>
                <c:pt idx="6">
                  <c:v>03. CABLEVEY</c:v>
                </c:pt>
                <c:pt idx="7">
                  <c:v>03. MOAGEM</c:v>
                </c:pt>
                <c:pt idx="8">
                  <c:v>04. EMPACOTAMENTO</c:v>
                </c:pt>
                <c:pt idx="9">
                  <c:v>04. LINHA 04</c:v>
                </c:pt>
                <c:pt idx="10">
                  <c:v>05. LINHA 05</c:v>
                </c:pt>
                <c:pt idx="11">
                  <c:v>06. ADMINISTRATIVO</c:v>
                </c:pt>
                <c:pt idx="12">
                  <c:v>06. PALETIZADORAS DE FARDOS</c:v>
                </c:pt>
                <c:pt idx="13">
                  <c:v>08. BIOMASSA</c:v>
                </c:pt>
                <c:pt idx="14">
                  <c:v>08. LOGISTICA</c:v>
                </c:pt>
                <c:pt idx="15">
                  <c:v>09.10 Escritórios administrativos</c:v>
                </c:pt>
                <c:pt idx="16">
                  <c:v>09.17 REFEITÓRIO</c:v>
                </c:pt>
                <c:pt idx="17">
                  <c:v>09.19 SALA DE PRODUTOS QUÍMICOS </c:v>
                </c:pt>
                <c:pt idx="18">
                  <c:v>10. DISTRIBUIDORES</c:v>
                </c:pt>
                <c:pt idx="19">
                  <c:v>02. MOAGEM LINHA 02</c:v>
                </c:pt>
                <c:pt idx="20">
                  <c:v>05. MOAGEM LINHA 05</c:v>
                </c:pt>
                <c:pt idx="21">
                  <c:v>03. SILOS</c:v>
                </c:pt>
                <c:pt idx="22">
                  <c:v>01. ELEVADOR CANECAS</c:v>
                </c:pt>
                <c:pt idx="23">
                  <c:v>07. AREAS EXTERNAS</c:v>
                </c:pt>
              </c:strCache>
            </c:strRef>
          </c:cat>
          <c:val>
            <c:numRef>
              <c:f>'Ideias-area'!$B$5:$B$29</c:f>
              <c:numCache>
                <c:formatCode>General</c:formatCode>
                <c:ptCount val="24"/>
                <c:pt idx="0">
                  <c:v>9</c:v>
                </c:pt>
                <c:pt idx="1">
                  <c:v>19</c:v>
                </c:pt>
                <c:pt idx="2">
                  <c:v>28</c:v>
                </c:pt>
                <c:pt idx="3">
                  <c:v>5</c:v>
                </c:pt>
                <c:pt idx="4">
                  <c:v>9</c:v>
                </c:pt>
                <c:pt idx="5">
                  <c:v>9</c:v>
                </c:pt>
                <c:pt idx="6">
                  <c:v>2</c:v>
                </c:pt>
                <c:pt idx="7">
                  <c:v>5</c:v>
                </c:pt>
                <c:pt idx="8">
                  <c:v>27</c:v>
                </c:pt>
                <c:pt idx="9">
                  <c:v>10</c:v>
                </c:pt>
                <c:pt idx="10">
                  <c:v>8</c:v>
                </c:pt>
                <c:pt idx="11">
                  <c:v>18</c:v>
                </c:pt>
                <c:pt idx="12">
                  <c:v>1</c:v>
                </c:pt>
                <c:pt idx="13">
                  <c:v>2</c:v>
                </c:pt>
                <c:pt idx="14">
                  <c:v>3</c:v>
                </c:pt>
                <c:pt idx="15">
                  <c:v>7</c:v>
                </c:pt>
                <c:pt idx="16">
                  <c:v>2</c:v>
                </c:pt>
                <c:pt idx="17">
                  <c:v>13</c:v>
                </c:pt>
                <c:pt idx="18">
                  <c:v>1</c:v>
                </c:pt>
                <c:pt idx="19">
                  <c:v>1</c:v>
                </c:pt>
                <c:pt idx="20">
                  <c:v>1</c:v>
                </c:pt>
                <c:pt idx="21">
                  <c:v>1</c:v>
                </c:pt>
                <c:pt idx="22">
                  <c:v>1</c:v>
                </c:pt>
                <c:pt idx="23">
                  <c:v>2</c:v>
                </c:pt>
              </c:numCache>
            </c:numRef>
          </c:val>
          <c:extLst>
            <c:ext xmlns:c16="http://schemas.microsoft.com/office/drawing/2014/chart" uri="{C3380CC4-5D6E-409C-BE32-E72D297353CC}">
              <c16:uniqueId val="{00000006-0EAF-4F8B-8532-0C6DE149FDB2}"/>
            </c:ext>
          </c:extLst>
        </c:ser>
        <c:dLbls>
          <c:dLblPos val="outEnd"/>
          <c:showLegendKey val="0"/>
          <c:showVal val="1"/>
          <c:showCatName val="0"/>
          <c:showSerName val="0"/>
          <c:showPercent val="0"/>
          <c:showBubbleSize val="0"/>
        </c:dLbls>
        <c:gapWidth val="219"/>
        <c:overlap val="-27"/>
        <c:axId val="872989968"/>
        <c:axId val="872991768"/>
      </c:barChart>
      <c:catAx>
        <c:axId val="872989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72991768"/>
        <c:crosses val="autoZero"/>
        <c:auto val="1"/>
        <c:lblAlgn val="ctr"/>
        <c:lblOffset val="100"/>
        <c:noMultiLvlLbl val="0"/>
      </c:catAx>
      <c:valAx>
        <c:axId val="872991768"/>
        <c:scaling>
          <c:orientation val="minMax"/>
        </c:scaling>
        <c:delete val="1"/>
        <c:axPos val="l"/>
        <c:numFmt formatCode="General" sourceLinked="1"/>
        <c:majorTickMark val="out"/>
        <c:minorTickMark val="none"/>
        <c:tickLblPos val="nextTo"/>
        <c:crossAx val="87298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RECEIVED IDEAS</a:t>
            </a:r>
            <a:r>
              <a:rPr lang="pt-BR" baseline="0"/>
              <a:t> BY AREA</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stacked"/>
        <c:varyColors val="0"/>
        <c:ser>
          <c:idx val="0"/>
          <c:order val="0"/>
          <c:spPr>
            <a:solidFill>
              <a:schemeClr val="accent1"/>
            </a:solidFill>
            <a:ln>
              <a:noFill/>
            </a:ln>
            <a:effectLst/>
          </c:spPr>
          <c:invertIfNegative val="0"/>
          <c:dLbls>
            <c:dLbl>
              <c:idx val="0"/>
              <c:layout>
                <c:manualLayout>
                  <c:x val="0"/>
                  <c:y val="-7.16979889708908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4E-407D-91A8-D9D4EAF1AC2F}"/>
                </c:ext>
              </c:extLst>
            </c:dLbl>
            <c:dLbl>
              <c:idx val="1"/>
              <c:layout>
                <c:manualLayout>
                  <c:x val="-2.5462668816039986E-17"/>
                  <c:y val="-7.50839071945275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4E-407D-91A8-D9D4EAF1AC2F}"/>
                </c:ext>
              </c:extLst>
            </c:dLbl>
            <c:dLbl>
              <c:idx val="2"/>
              <c:layout>
                <c:manualLayout>
                  <c:x val="0"/>
                  <c:y val="-7.16979889708908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4E-407D-91A8-D9D4EAF1AC2F}"/>
                </c:ext>
              </c:extLst>
            </c:dLbl>
            <c:dLbl>
              <c:idx val="3"/>
              <c:layout>
                <c:manualLayout>
                  <c:x val="-2.7777777777777779E-3"/>
                  <c:y val="-7.382406467484246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4E-407D-91A8-D9D4EAF1AC2F}"/>
                </c:ext>
              </c:extLst>
            </c:dLbl>
            <c:dLbl>
              <c:idx val="4"/>
              <c:layout>
                <c:manualLayout>
                  <c:x val="0"/>
                  <c:y val="-0.2558694797296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4E-407D-91A8-D9D4EAF1AC2F}"/>
                </c:ext>
              </c:extLst>
            </c:dLbl>
            <c:dLbl>
              <c:idx val="5"/>
              <c:layout>
                <c:manualLayout>
                  <c:x val="-2.7777777777778798E-3"/>
                  <c:y val="-0.115949408762929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4E-407D-91A8-D9D4EAF1AC2F}"/>
                </c:ext>
              </c:extLst>
            </c:dLbl>
            <c:dLbl>
              <c:idx val="7"/>
              <c:layout>
                <c:manualLayout>
                  <c:x val="-1.0185067526415994E-16"/>
                  <c:y val="-8.60285147283418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4E-407D-91A8-D9D4EAF1AC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'Ideias-area'!$L$2:$L$9</c:f>
              <c:strCache>
                <c:ptCount val="8"/>
                <c:pt idx="0">
                  <c:v>CAFÉ CRU</c:v>
                </c:pt>
                <c:pt idx="1">
                  <c:v>JDE CAFES DO BRASIL UNIDADE PIUMHI</c:v>
                </c:pt>
                <c:pt idx="2">
                  <c:v>TORRADORES</c:v>
                </c:pt>
                <c:pt idx="3">
                  <c:v>MOAGEM</c:v>
                </c:pt>
                <c:pt idx="4">
                  <c:v>EMPACOTAMENTO</c:v>
                </c:pt>
                <c:pt idx="5">
                  <c:v>ADMINISTRATIVO</c:v>
                </c:pt>
                <c:pt idx="6">
                  <c:v>LOGISTICA</c:v>
                </c:pt>
                <c:pt idx="7">
                  <c:v>SALA DE PRODUTOS QUÍMICOS </c:v>
                </c:pt>
              </c:strCache>
            </c:strRef>
          </c:cat>
          <c:val>
            <c:numRef>
              <c:f>'Ideias-area'!$M$2:$M$9</c:f>
              <c:numCache>
                <c:formatCode>General</c:formatCode>
                <c:ptCount val="8"/>
                <c:pt idx="0">
                  <c:v>9</c:v>
                </c:pt>
                <c:pt idx="1">
                  <c:v>9</c:v>
                </c:pt>
                <c:pt idx="2">
                  <c:v>12</c:v>
                </c:pt>
                <c:pt idx="3">
                  <c:v>8</c:v>
                </c:pt>
                <c:pt idx="4">
                  <c:v>70</c:v>
                </c:pt>
                <c:pt idx="5">
                  <c:v>22</c:v>
                </c:pt>
                <c:pt idx="6">
                  <c:v>1</c:v>
                </c:pt>
                <c:pt idx="7">
                  <c:v>13</c:v>
                </c:pt>
              </c:numCache>
            </c:numRef>
          </c:val>
          <c:extLst>
            <c:ext xmlns:c16="http://schemas.microsoft.com/office/drawing/2014/chart" uri="{C3380CC4-5D6E-409C-BE32-E72D297353CC}">
              <c16:uniqueId val="{00000000-3E4E-407D-91A8-D9D4EAF1AC2F}"/>
            </c:ext>
          </c:extLst>
        </c:ser>
        <c:dLbls>
          <c:dLblPos val="inBase"/>
          <c:showLegendKey val="0"/>
          <c:showVal val="1"/>
          <c:showCatName val="0"/>
          <c:showSerName val="0"/>
          <c:showPercent val="0"/>
          <c:showBubbleSize val="0"/>
        </c:dLbls>
        <c:gapWidth val="150"/>
        <c:overlap val="100"/>
        <c:axId val="1655165615"/>
        <c:axId val="1655175215"/>
      </c:barChart>
      <c:catAx>
        <c:axId val="16551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55175215"/>
        <c:crosses val="autoZero"/>
        <c:auto val="1"/>
        <c:lblAlgn val="ctr"/>
        <c:lblOffset val="100"/>
        <c:noMultiLvlLbl val="0"/>
      </c:catAx>
      <c:valAx>
        <c:axId val="1655175215"/>
        <c:scaling>
          <c:orientation val="minMax"/>
        </c:scaling>
        <c:delete val="1"/>
        <c:axPos val="l"/>
        <c:numFmt formatCode="General" sourceLinked="1"/>
        <c:majorTickMark val="none"/>
        <c:minorTickMark val="none"/>
        <c:tickLblPos val="nextTo"/>
        <c:crossAx val="165516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kern="1200" spc="0" baseline="0">
                <a:solidFill>
                  <a:sysClr val="windowText" lastClr="000000">
                    <a:lumMod val="65000"/>
                    <a:lumOff val="35000"/>
                  </a:sysClr>
                </a:solidFill>
              </a:rPr>
              <a:t>RECEIVED IDEAS BY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stacked"/>
        <c:varyColors val="0"/>
        <c:ser>
          <c:idx val="0"/>
          <c:order val="0"/>
          <c:spPr>
            <a:solidFill>
              <a:schemeClr val="accent1"/>
            </a:solidFill>
            <a:ln>
              <a:noFill/>
            </a:ln>
            <a:effectLst/>
          </c:spPr>
          <c:invertIfNegative val="0"/>
          <c:dLbls>
            <c:dLbl>
              <c:idx val="0"/>
              <c:layout>
                <c:manualLayout>
                  <c:x val="-2.7777777777777779E-3"/>
                  <c:y val="-6.79934520380075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70-407C-90D2-C3FEA3657D07}"/>
                </c:ext>
              </c:extLst>
            </c:dLbl>
            <c:dLbl>
              <c:idx val="1"/>
              <c:layout>
                <c:manualLayout>
                  <c:x val="-2.5462668816039986E-17"/>
                  <c:y val="-7.01743989318408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70-407C-90D2-C3FEA3657D07}"/>
                </c:ext>
              </c:extLst>
            </c:dLbl>
            <c:dLbl>
              <c:idx val="2"/>
              <c:layout>
                <c:manualLayout>
                  <c:x val="0"/>
                  <c:y val="-7.3634941973716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70-407C-90D2-C3FEA3657D07}"/>
                </c:ext>
              </c:extLst>
            </c:dLbl>
            <c:dLbl>
              <c:idx val="3"/>
              <c:layout>
                <c:manualLayout>
                  <c:x val="0"/>
                  <c:y val="-6.334769129468573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70-407C-90D2-C3FEA3657D07}"/>
                </c:ext>
              </c:extLst>
            </c:dLbl>
            <c:dLbl>
              <c:idx val="4"/>
              <c:layout>
                <c:manualLayout>
                  <c:x val="0"/>
                  <c:y val="-0.244397011349191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70-407C-90D2-C3FEA3657D07}"/>
                </c:ext>
              </c:extLst>
            </c:dLbl>
            <c:dLbl>
              <c:idx val="5"/>
              <c:layout>
                <c:manualLayout>
                  <c:x val="-1.0185067526415994E-16"/>
                  <c:y val="-7.3634941973716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70-407C-90D2-C3FEA3657D07}"/>
                </c:ext>
              </c:extLst>
            </c:dLbl>
            <c:dLbl>
              <c:idx val="7"/>
              <c:layout>
                <c:manualLayout>
                  <c:x val="-1.0185067526415994E-16"/>
                  <c:y val="-5.53357659560848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70-407C-90D2-C3FEA3657D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'Ideias-area'!$L$29:$L$36</c:f>
              <c:strCache>
                <c:ptCount val="8"/>
                <c:pt idx="0">
                  <c:v>CAFÉ CRU</c:v>
                </c:pt>
                <c:pt idx="1">
                  <c:v>JDE CAFES DO BRASIL UNIDADE PIUMHI</c:v>
                </c:pt>
                <c:pt idx="2">
                  <c:v>TORRADORES</c:v>
                </c:pt>
                <c:pt idx="3">
                  <c:v>MOAGEM</c:v>
                </c:pt>
                <c:pt idx="4">
                  <c:v>EMPACOTAMENTO</c:v>
                </c:pt>
                <c:pt idx="5">
                  <c:v>ADMINISTRATIVO</c:v>
                </c:pt>
                <c:pt idx="6">
                  <c:v>LOGISTICA</c:v>
                </c:pt>
                <c:pt idx="7">
                  <c:v>SALA DE PRODUTOS QUÍMICOS </c:v>
                </c:pt>
              </c:strCache>
            </c:strRef>
          </c:cat>
          <c:val>
            <c:numRef>
              <c:f>'Ideias-area'!$M$29:$M$36</c:f>
              <c:numCache>
                <c:formatCode>General</c:formatCode>
                <c:ptCount val="8"/>
                <c:pt idx="0">
                  <c:v>21</c:v>
                </c:pt>
                <c:pt idx="1">
                  <c:v>27</c:v>
                </c:pt>
                <c:pt idx="2">
                  <c:v>28</c:v>
                </c:pt>
                <c:pt idx="3">
                  <c:v>21</c:v>
                </c:pt>
                <c:pt idx="4">
                  <c:v>174</c:v>
                </c:pt>
                <c:pt idx="5">
                  <c:v>28</c:v>
                </c:pt>
                <c:pt idx="6">
                  <c:v>10</c:v>
                </c:pt>
                <c:pt idx="7">
                  <c:v>16</c:v>
                </c:pt>
              </c:numCache>
            </c:numRef>
          </c:val>
          <c:extLst>
            <c:ext xmlns:c16="http://schemas.microsoft.com/office/drawing/2014/chart" uri="{C3380CC4-5D6E-409C-BE32-E72D297353CC}">
              <c16:uniqueId val="{00000000-BF70-407C-90D2-C3FEA3657D07}"/>
            </c:ext>
          </c:extLst>
        </c:ser>
        <c:dLbls>
          <c:dLblPos val="inBase"/>
          <c:showLegendKey val="0"/>
          <c:showVal val="1"/>
          <c:showCatName val="0"/>
          <c:showSerName val="0"/>
          <c:showPercent val="0"/>
          <c:showBubbleSize val="0"/>
        </c:dLbls>
        <c:gapWidth val="150"/>
        <c:overlap val="100"/>
        <c:axId val="1718556511"/>
        <c:axId val="1718554591"/>
      </c:barChart>
      <c:catAx>
        <c:axId val="171855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18554591"/>
        <c:crosses val="autoZero"/>
        <c:auto val="1"/>
        <c:lblAlgn val="ctr"/>
        <c:lblOffset val="100"/>
        <c:noMultiLvlLbl val="0"/>
      </c:catAx>
      <c:valAx>
        <c:axId val="1718554591"/>
        <c:scaling>
          <c:orientation val="minMax"/>
        </c:scaling>
        <c:delete val="1"/>
        <c:axPos val="l"/>
        <c:numFmt formatCode="General" sourceLinked="1"/>
        <c:majorTickMark val="none"/>
        <c:minorTickMark val="none"/>
        <c:tickLblPos val="nextTo"/>
        <c:crossAx val="171855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846138</xdr:colOff>
      <xdr:row>10</xdr:row>
      <xdr:rowOff>146050</xdr:rowOff>
    </xdr:from>
    <xdr:to>
      <xdr:col>1</xdr:col>
      <xdr:colOff>2016125</xdr:colOff>
      <xdr:row>23</xdr:row>
      <xdr:rowOff>15875</xdr:rowOff>
    </xdr:to>
    <xdr:graphicFrame macro="">
      <xdr:nvGraphicFramePr>
        <xdr:cNvPr id="4" name="Gráfico 4">
          <a:extLst>
            <a:ext uri="{FF2B5EF4-FFF2-40B4-BE49-F238E27FC236}">
              <a16:creationId xmlns:a16="http://schemas.microsoft.com/office/drawing/2014/main" id="{6BFA4C8B-3E53-6153-4F89-AD68EAAED388}"/>
            </a:ext>
            <a:ext uri="{147F2762-F138-4A5C-976F-8EAC2B608ADB}">
              <a16:predDERef xmlns:a16="http://schemas.microsoft.com/office/drawing/2014/main" pred="{0CDD429A-BAEB-6A08-ABA9-82E7BFCC2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498474</xdr:colOff>
      <xdr:row>0</xdr:row>
      <xdr:rowOff>146050</xdr:rowOff>
    </xdr:from>
    <xdr:to>
      <xdr:col>15</xdr:col>
      <xdr:colOff>546099</xdr:colOff>
      <xdr:row>15</xdr:row>
      <xdr:rowOff>165100</xdr:rowOff>
    </xdr:to>
    <xdr:graphicFrame macro="">
      <xdr:nvGraphicFramePr>
        <xdr:cNvPr id="118" name="Gráfico 3">
          <a:extLst>
            <a:ext uri="{FF2B5EF4-FFF2-40B4-BE49-F238E27FC236}">
              <a16:creationId xmlns:a16="http://schemas.microsoft.com/office/drawing/2014/main" id="{D3B4548C-FB4A-218C-2D65-F626C44EE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447676</xdr:colOff>
      <xdr:row>16</xdr:row>
      <xdr:rowOff>169862</xdr:rowOff>
    </xdr:from>
    <xdr:to>
      <xdr:col>11</xdr:col>
      <xdr:colOff>307976</xdr:colOff>
      <xdr:row>31</xdr:row>
      <xdr:rowOff>11112</xdr:rowOff>
    </xdr:to>
    <xdr:graphicFrame macro="">
      <xdr:nvGraphicFramePr>
        <xdr:cNvPr id="3" name="Gráfico 2">
          <a:extLst>
            <a:ext uri="{FF2B5EF4-FFF2-40B4-BE49-F238E27FC236}">
              <a16:creationId xmlns:a16="http://schemas.microsoft.com/office/drawing/2014/main" id="{6585A4DC-7A72-7181-4C31-CE0738E88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187325</xdr:colOff>
      <xdr:row>4</xdr:row>
      <xdr:rowOff>9525</xdr:rowOff>
    </xdr:from>
    <xdr:to>
      <xdr:col>6</xdr:col>
      <xdr:colOff>161925</xdr:colOff>
      <xdr:row>18</xdr:row>
      <xdr:rowOff>171450</xdr:rowOff>
    </xdr:to>
    <xdr:graphicFrame macro="">
      <xdr:nvGraphicFramePr>
        <xdr:cNvPr id="7" name="Gráfico 1">
          <a:extLst>
            <a:ext uri="{FF2B5EF4-FFF2-40B4-BE49-F238E27FC236}">
              <a16:creationId xmlns:a16="http://schemas.microsoft.com/office/drawing/2014/main" id="{79670958-8882-5F94-A149-FE6061176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257175</xdr:colOff>
      <xdr:row>5</xdr:row>
      <xdr:rowOff>30162</xdr:rowOff>
    </xdr:from>
    <xdr:to>
      <xdr:col>8</xdr:col>
      <xdr:colOff>2286000</xdr:colOff>
      <xdr:row>13</xdr:row>
      <xdr:rowOff>149225</xdr:rowOff>
    </xdr:to>
    <xdr:graphicFrame macro="">
      <xdr:nvGraphicFramePr>
        <xdr:cNvPr id="3" name="Gráfico 2">
          <a:extLst>
            <a:ext uri="{FF2B5EF4-FFF2-40B4-BE49-F238E27FC236}">
              <a16:creationId xmlns:a16="http://schemas.microsoft.com/office/drawing/2014/main" id="{4CA1FDFA-0061-260D-8D68-604AB35B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76200</xdr:colOff>
      <xdr:row>23</xdr:row>
      <xdr:rowOff>104775</xdr:rowOff>
    </xdr:from>
    <xdr:to>
      <xdr:col>4</xdr:col>
      <xdr:colOff>723900</xdr:colOff>
      <xdr:row>31</xdr:row>
      <xdr:rowOff>10432</xdr:rowOff>
    </xdr:to>
    <mc:AlternateContent xmlns:mc="http://schemas.openxmlformats.org/markup-compatibility/2006" xmlns:tsle="http://schemas.microsoft.com/office/drawing/2012/timeslicer">
      <mc:Choice Requires="tsle">
        <xdr:graphicFrame macro="">
          <xdr:nvGraphicFramePr>
            <xdr:cNvPr id="2" name="Criada">
              <a:extLst>
                <a:ext uri="{FF2B5EF4-FFF2-40B4-BE49-F238E27FC236}">
                  <a16:creationId xmlns:a16="http://schemas.microsoft.com/office/drawing/2014/main" id="{0E36D9D7-4C60-1DAA-2618-B6D36029684C}"/>
                </a:ext>
                <a:ext uri="{147F2762-F138-4A5C-976F-8EAC2B608ADB}">
                  <a16:predDERef xmlns:a16="http://schemas.microsoft.com/office/drawing/2014/main" pred="{4CA1FDFA-0061-260D-8D68-604AB35BA7EC}"/>
                </a:ext>
              </a:extLst>
            </xdr:cNvPr>
            <xdr:cNvGraphicFramePr/>
          </xdr:nvGraphicFramePr>
          <xdr:xfrm>
            <a:off x="0" y="0"/>
            <a:ext cx="0" cy="0"/>
          </xdr:xfrm>
          <a:graphic>
            <a:graphicData uri="http://schemas.microsoft.com/office/drawing/2012/timeslicer">
              <tsle:timeslicer name="Criada"/>
            </a:graphicData>
          </a:graphic>
        </xdr:graphicFrame>
      </mc:Choice>
      <mc:Fallback xmlns="">
        <xdr:sp macro="" textlink="">
          <xdr:nvSpPr>
            <xdr:cNvPr id="0" name=""/>
            <xdr:cNvSpPr>
              <a:spLocks noTextEdit="1"/>
            </xdr:cNvSpPr>
          </xdr:nvSpPr>
          <xdr:spPr>
            <a:xfrm>
              <a:off x="5295900" y="4457700"/>
              <a:ext cx="2343150" cy="14859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161925</xdr:colOff>
      <xdr:row>1</xdr:row>
      <xdr:rowOff>101600</xdr:rowOff>
    </xdr:from>
    <xdr:to>
      <xdr:col>9</xdr:col>
      <xdr:colOff>466725</xdr:colOff>
      <xdr:row>16</xdr:row>
      <xdr:rowOff>82550</xdr:rowOff>
    </xdr:to>
    <xdr:graphicFrame macro="">
      <xdr:nvGraphicFramePr>
        <xdr:cNvPr id="6" name="Gráfico 3">
          <a:extLst>
            <a:ext uri="{FF2B5EF4-FFF2-40B4-BE49-F238E27FC236}">
              <a16:creationId xmlns:a16="http://schemas.microsoft.com/office/drawing/2014/main" id="{1B1258DD-D28C-1ACE-6BA6-71C5A573F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487362</xdr:colOff>
      <xdr:row>0</xdr:row>
      <xdr:rowOff>160337</xdr:rowOff>
    </xdr:from>
    <xdr:to>
      <xdr:col>21</xdr:col>
      <xdr:colOff>182562</xdr:colOff>
      <xdr:row>16</xdr:row>
      <xdr:rowOff>1587</xdr:rowOff>
    </xdr:to>
    <xdr:graphicFrame macro="">
      <xdr:nvGraphicFramePr>
        <xdr:cNvPr id="8" name="Gráfico 7">
          <a:extLst>
            <a:ext uri="{FF2B5EF4-FFF2-40B4-BE49-F238E27FC236}">
              <a16:creationId xmlns:a16="http://schemas.microsoft.com/office/drawing/2014/main" id="{B5017B85-E84F-7B17-DCB3-ECD51345D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27</xdr:row>
      <xdr:rowOff>169862</xdr:rowOff>
    </xdr:from>
    <xdr:to>
      <xdr:col>22</xdr:col>
      <xdr:colOff>304800</xdr:colOff>
      <xdr:row>43</xdr:row>
      <xdr:rowOff>11112</xdr:rowOff>
    </xdr:to>
    <xdr:graphicFrame macro="">
      <xdr:nvGraphicFramePr>
        <xdr:cNvPr id="9" name="Gráfico 8">
          <a:extLst>
            <a:ext uri="{FF2B5EF4-FFF2-40B4-BE49-F238E27FC236}">
              <a16:creationId xmlns:a16="http://schemas.microsoft.com/office/drawing/2014/main" id="{DC08DEE7-AE28-9FD2-666D-E3030A91D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ereira, Jhonnathan" id="{8D84C22E-E58B-4D00-83B9-2C8C71258035}" userId="S::jhonnathan.pereira@jdecoffee.com::afe38053-ac80-40b9-a289-c3b9c0cef40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eira, Jhonnathan" refreshedDate="46283.579105439814" createdVersion="8" refreshedVersion="8" minRefreshableVersion="3" recordCount="1032" xr:uid="{314ADAB1-D5DD-41A7-86AE-20BB91420153}">
  <cacheSource type="worksheet">
    <worksheetSource name="TAB.IDEIAS.TOTAL"/>
  </cacheSource>
  <cacheFields count="19">
    <cacheField name="Número " numFmtId="49">
      <sharedItems containsBlank="1"/>
    </cacheField>
    <cacheField name="Descrição curta" numFmtId="49">
      <sharedItems containsBlank="1"/>
    </cacheField>
    <cacheField name="Status" numFmtId="0">
      <sharedItems containsBlank="1" count="6">
        <s v="Cancelado"/>
        <s v="Fechado"/>
        <s v="Resolvido"/>
        <s v="Em andamento"/>
        <s v="Rascunho"/>
        <m/>
      </sharedItems>
    </cacheField>
    <cacheField name="Descrição" numFmtId="49">
      <sharedItems containsBlank="1" longText="1"/>
    </cacheField>
    <cacheField name="Enviado por" numFmtId="49">
      <sharedItems containsBlank="1"/>
    </cacheField>
    <cacheField name="Categoria" numFmtId="49">
      <sharedItems containsBlank="1"/>
    </cacheField>
    <cacheField name="Sub categoria" numFmtId="49">
      <sharedItems containsBlank="1" count="12">
        <s v="Organisation of work"/>
        <s v="Safety - Health"/>
        <s v="Processo"/>
        <s v="Qualidade"/>
        <s v="Cost (GE, rework)"/>
        <s v="Energy efficiency"/>
        <s v="Product"/>
        <s v="Yeld"/>
        <s v="Meio Ambiente"/>
        <m/>
        <s v="New software"/>
        <s v="6.New Feature" u="1"/>
      </sharedItems>
    </cacheField>
    <cacheField name="Criada" numFmtId="0">
      <sharedItems containsNonDate="0" containsDate="1" containsString="0" containsBlank="1" minDate="2024-08-02T09:53:28" maxDate="2026-09-18T09:39:09" count="607">
        <d v="2024-08-02T09:53:28"/>
        <d v="2024-08-05T09:38:42"/>
        <d v="2024-08-06T05:30:34"/>
        <d v="2024-08-06T05:54:52"/>
        <d v="2024-08-06T14:27:38"/>
        <d v="2024-08-08T16:30:58"/>
        <d v="2024-08-08T16:39:24"/>
        <d v="2024-08-08T16:53:52"/>
        <d v="2024-08-09T07:18:42"/>
        <d v="2024-08-09T08:14:09"/>
        <d v="2024-08-12T05:10:07"/>
        <d v="2024-08-12T09:15:51"/>
        <d v="2024-08-12T09:32:36"/>
        <d v="2024-08-13T00:08:41"/>
        <d v="2024-08-13T08:38:36"/>
        <d v="2024-08-13T09:01:07"/>
        <d v="2024-08-14T01:47:40"/>
        <d v="2024-08-14T01:53:47"/>
        <d v="2024-08-14T02:53:21"/>
        <d v="2024-08-16T09:47:37"/>
        <d v="2024-08-16T11:35:33"/>
        <d v="2024-08-19T17:27:41"/>
        <d v="2024-08-19T17:36:44"/>
        <d v="2024-08-23T07:15:05"/>
        <d v="2024-08-26T11:24:40"/>
        <d v="2024-08-28T05:35:20"/>
        <d v="2024-09-11T12:19:33"/>
        <d v="2024-09-17T21:58:01"/>
        <d v="2024-09-19T19:43:55"/>
        <d v="2024-09-27T18:36:05"/>
        <d v="2024-10-01T12:36:54"/>
        <d v="2024-10-03T13:37:32"/>
        <d v="2024-10-08T14:41:53"/>
        <d v="2024-10-09T00:28:03"/>
        <d v="2024-10-10T00:01:49"/>
        <d v="2024-10-10T01:18:49"/>
        <d v="2024-10-10T10:04:12"/>
        <d v="2024-10-16T10:02:40"/>
        <d v="2024-10-17T09:05:39"/>
        <d v="2024-10-17T09:31:44"/>
        <d v="2024-10-17T09:35:13"/>
        <d v="2024-10-17T10:28:15"/>
        <d v="2024-10-21T17:28:19"/>
        <d v="2024-10-22T11:45:53"/>
        <d v="2024-10-22T12:03:28"/>
        <d v="2024-10-22T14:41:38"/>
        <d v="2024-10-24T06:47:00"/>
        <d v="2024-10-25T07:53:38"/>
        <d v="2024-10-29T03:46:12"/>
        <d v="2024-10-30T10:05:38"/>
        <d v="2024-10-30T15:18:40"/>
        <d v="2024-10-31T01:41:13"/>
        <d v="2024-10-31T13:57:54"/>
        <d v="2024-10-31T13:59:31"/>
        <d v="2024-10-31T19:04:29"/>
        <d v="2024-10-31T21:21:15"/>
        <d v="2024-11-01T23:25:54"/>
        <d v="2024-11-03T06:44:51"/>
        <d v="2024-11-04T08:23:20"/>
        <d v="2024-11-05T19:49:42"/>
        <d v="2024-11-06T13:52:06"/>
        <d v="2024-11-06T19:57:58"/>
        <d v="2024-11-07T03:26:07"/>
        <d v="2024-11-07T03:37:21"/>
        <d v="2024-11-08T02:39:29"/>
        <d v="2024-11-08T09:52:11"/>
        <d v="2024-11-09T07:45:01"/>
        <d v="2024-11-11T18:55:37"/>
        <d v="2024-11-11T22:00:02"/>
        <d v="2024-11-12T00:08:07"/>
        <d v="2024-11-12T18:54:35"/>
        <d v="2024-11-12T23:13:49"/>
        <d v="2024-11-12T23:31:17"/>
        <d v="2024-11-13T04:43:24"/>
        <d v="2024-11-19T14:20:17"/>
        <d v="2024-11-20T08:39:58"/>
        <d v="2024-11-23T17:15:03"/>
        <d v="2024-11-26T11:57:47"/>
        <d v="2024-11-28T04:02:37"/>
        <d v="2024-11-29T17:05:22"/>
        <d v="2024-11-29T17:08:08"/>
        <d v="2024-11-29T17:34:48"/>
        <d v="2024-11-29T17:35:39"/>
        <d v="2024-12-04T23:30:57"/>
        <d v="2024-12-05T20:45:38"/>
        <d v="2024-12-05T23:21:06"/>
        <d v="2024-12-06T11:37:43"/>
        <d v="2024-12-12T09:51:21"/>
        <d v="2024-12-12T09:54:18"/>
        <d v="2024-12-12T09:57:58"/>
        <d v="2024-12-12T11:51:37"/>
        <d v="2024-12-12T18:13:32"/>
        <d v="2024-12-14T09:21:08"/>
        <d v="2024-12-14T09:26:33"/>
        <d v="2024-12-14T09:37:08"/>
        <d v="2024-12-17T06:23:56"/>
        <d v="2024-12-17T10:11:11"/>
        <d v="2025-01-07T09:17:28"/>
        <d v="2025-01-14T17:26:53"/>
        <d v="2025-01-16T10:26:51"/>
        <d v="2025-01-16T11:49:54"/>
        <d v="2025-01-22T08:29:02"/>
        <d v="2025-01-25T11:30:56"/>
        <d v="2025-01-27T09:10:42"/>
        <d v="2025-02-05T23:25:17"/>
        <d v="2025-02-10T11:23:48"/>
        <d v="2025-02-10T12:33:11"/>
        <d v="2025-02-10T14:59:07"/>
        <d v="2025-02-18T14:04:31"/>
        <d v="2025-02-18T14:34:37"/>
        <d v="2025-02-19T09:49:06"/>
        <d v="2025-02-25T15:35:09"/>
        <d v="2025-02-25T20:00:14"/>
        <d v="2025-02-25T23:55:10"/>
        <d v="2025-02-26T08:09:01"/>
        <d v="2025-02-28T14:38:55"/>
        <d v="2025-03-05T23:05:49"/>
        <d v="2025-03-07T10:06:29"/>
        <d v="2025-03-15T12:56:00"/>
        <d v="2025-03-19T12:04:40"/>
        <d v="2025-03-24T09:23:04"/>
        <d v="2025-03-24T10:24:38"/>
        <d v="2025-03-24T15:15:46"/>
        <d v="2025-03-31T05:01:02"/>
        <d v="2025-03-31T09:05:15"/>
        <d v="2025-04-02T04:40:33"/>
        <d v="2025-04-03T08:27:48"/>
        <d v="2025-04-03T11:30:52"/>
        <d v="2025-04-03T23:58:20"/>
        <d v="2025-04-05T03:40:48"/>
        <d v="2025-04-05T06:40:58"/>
        <d v="2025-04-09T15:25:00"/>
        <d v="2025-04-09T18:00:01"/>
        <d v="2025-04-12T15:16:21"/>
        <d v="2025-04-14T00:29:29"/>
        <d v="2025-04-15T13:51:26"/>
        <d v="2025-04-16T22:07:29"/>
        <d v="2025-04-24T08:16:13"/>
        <d v="2025-04-24T09:08:00"/>
        <d v="2025-04-24T18:18:20"/>
        <d v="2025-04-24T18:44:26"/>
        <d v="2025-04-25T07:24:16"/>
        <d v="2025-04-25T08:16:39"/>
        <d v="2025-04-25T10:00:06"/>
        <d v="2025-04-26T03:44:59"/>
        <d v="2025-04-26T16:33:14"/>
        <d v="2025-04-29T13:51:17"/>
        <d v="2025-04-30T16:57:23"/>
        <d v="2025-05-01T01:57:27"/>
        <d v="2025-05-01T01:58:49"/>
        <d v="2025-05-01T03:29:31"/>
        <d v="2025-05-01T04:33:23"/>
        <d v="2025-05-01T04:39:10"/>
        <d v="2025-05-01T04:41:07"/>
        <d v="2025-05-01T04:42:10"/>
        <d v="2025-05-01T04:46:20"/>
        <d v="2025-05-01T10:52:28"/>
        <d v="2025-05-02T11:20:21"/>
        <d v="2025-05-02T17:41:18"/>
        <d v="2025-05-03T01:32:13"/>
        <d v="2025-05-03T10:02:40"/>
        <d v="2025-05-08T09:11:45"/>
        <d v="2025-05-08T13:51:15"/>
        <d v="2025-05-10T01:52:14"/>
        <d v="2025-05-12T13:22:53"/>
        <d v="2025-05-12T15:25:08"/>
        <d v="2025-05-14T09:02:38"/>
        <d v="2025-05-20T12:13:42"/>
        <d v="2025-05-21T08:24:17"/>
        <d v="2025-05-21T13:29:33"/>
        <d v="2025-05-23T09:05:04"/>
        <d v="2025-05-24T12:30:09"/>
        <d v="2025-05-28T05:41:17"/>
        <d v="2025-05-28T10:03:59"/>
        <d v="2025-05-29T21:10:56"/>
        <d v="2025-05-29T21:21:27"/>
        <d v="2025-05-29T21:24:37"/>
        <d v="2025-06-02T10:43:35"/>
        <d v="2025-06-03T22:31:11"/>
        <d v="2025-06-04T10:47:36"/>
        <d v="2025-06-04T11:14:49"/>
        <d v="2025-06-04T11:48:07"/>
        <d v="2025-06-05T12:28:24"/>
        <d v="2025-06-05T13:32:34"/>
        <d v="2025-06-05T21:57:02"/>
        <d v="2025-06-06T08:41:18"/>
        <d v="2025-06-06T08:51:12"/>
        <d v="2025-06-06T10:55:13"/>
        <d v="2025-06-06T23:30:45"/>
        <d v="2025-06-09T01:48:14"/>
        <d v="2025-06-10T11:34:30"/>
        <d v="2025-06-11T21:57:40"/>
        <d v="2025-06-12T13:25:10"/>
        <d v="2025-06-12T15:20:36"/>
        <d v="2025-06-13T00:19:04"/>
        <d v="2025-06-16T04:46:06"/>
        <d v="2025-06-16T12:03:13"/>
        <d v="2025-06-16T13:08:24"/>
        <d v="2025-06-18T01:48:36"/>
        <d v="2025-06-18T09:41:39"/>
        <d v="2025-06-18T17:10:01"/>
        <d v="2025-06-19T00:11:14"/>
        <d v="2025-06-19T10:54:14"/>
        <d v="2025-06-19T21:47:58"/>
        <d v="2025-06-19T21:51:33"/>
        <d v="2025-06-21T05:36:05"/>
        <d v="2025-06-23T08:50:15"/>
        <d v="2025-06-23T12:06:44"/>
        <d v="2025-06-23T15:52:13"/>
        <d v="2025-06-24T02:05:59"/>
        <d v="2025-06-24T02:10:16"/>
        <d v="2025-06-24T05:15:21"/>
        <d v="2025-06-25T22:29:12"/>
        <d v="2025-06-28T02:19:25"/>
        <d v="2025-07-01T03:05:36"/>
        <d v="2025-07-01T03:13:53"/>
        <d v="2025-07-01T03:26:07"/>
        <d v="2025-07-01T17:14:52"/>
        <d v="2025-07-02T11:45:33"/>
        <d v="2025-07-02T11:53:24"/>
        <d v="2025-07-03T09:17:59"/>
        <d v="2025-07-03T13:16:25"/>
        <d v="2025-07-03T17:01:05"/>
        <d v="2025-07-03T21:14:01"/>
        <d v="2025-07-03T21:25:29"/>
        <d v="2025-07-07T05:27:35"/>
        <d v="2025-07-07T11:54:50"/>
        <d v="2025-07-08T02:53:22"/>
        <d v="2025-07-08T04:53:29"/>
        <d v="2025-07-08T07:30:00"/>
        <d v="2025-07-08T08:15:14"/>
        <d v="2025-07-08T09:31:31"/>
        <d v="2025-07-09T11:47:53"/>
        <d v="2025-07-10T11:02:35"/>
        <d v="2025-07-10T11:17:43"/>
        <d v="2025-07-11T20:55:34"/>
        <d v="2025-07-12T09:06:24"/>
        <d v="2025-07-12T10:33:23"/>
        <d v="2025-07-14T16:54:54"/>
        <d v="2025-07-15T07:22:59"/>
        <d v="2025-07-15T17:38:10"/>
        <d v="2025-07-16T16:58:02"/>
        <d v="2025-07-17T10:27:33"/>
        <d v="2025-07-17T10:31:08"/>
        <d v="2025-07-17T10:35:57"/>
        <d v="2025-07-17T10:41:22"/>
        <d v="2025-07-22T02:41:46"/>
        <d v="2025-07-22T23:12:32"/>
        <d v="2025-07-23T12:10:10"/>
        <d v="2025-07-24T02:16:31"/>
        <d v="2025-07-24T09:56:26"/>
        <d v="2025-07-25T05:23:07"/>
        <d v="2025-07-25T05:50:24"/>
        <d v="2025-07-25T20:29:34"/>
        <d v="2025-07-28T01:16:38"/>
        <d v="2025-07-28T15:00:37"/>
        <d v="2025-07-28T21:37:19"/>
        <d v="2025-07-29T04:54:15"/>
        <d v="2025-07-29T04:56:27"/>
        <d v="2025-08-02T03:41:58"/>
        <d v="2025-08-02T21:08:11"/>
        <d v="2025-08-05T05:42:38"/>
        <d v="2025-08-06T06:44:11"/>
        <d v="2025-08-06T10:16:47"/>
        <d v="2025-08-06T13:03:34"/>
        <d v="2025-08-07T22:45:15"/>
        <d v="2025-08-08T13:16:32"/>
        <d v="2025-08-08T23:02:49"/>
        <d v="2025-08-08T23:30:24"/>
        <d v="2025-08-12T04:43:34"/>
        <d v="2025-08-12T04:45:12"/>
        <d v="2025-08-13T21:28:19"/>
        <d v="2025-08-14T11:20:16"/>
        <d v="2025-08-14T11:26:32"/>
        <d v="2025-08-14T11:41:33"/>
        <d v="2025-08-14T12:58:32"/>
        <d v="2025-08-15T12:43:52"/>
        <d v="2025-08-20T11:33:27"/>
        <d v="2025-08-20T15:33:55"/>
        <d v="2025-08-22T01:47:39"/>
        <d v="2025-08-22T16:15:30"/>
        <d v="2025-08-22T16:17:31"/>
        <d v="2025-08-22T16:20:13"/>
        <d v="2025-08-22T23:44:23"/>
        <d v="2025-08-25T10:28:08"/>
        <d v="2025-09-03T12:26:23"/>
        <d v="2025-09-03T15:41:44"/>
        <d v="2025-09-04T09:33:36"/>
        <d v="2025-09-05T01:31:08"/>
        <d v="2025-09-05T18:14:59"/>
        <d v="2025-09-08T17:07:23"/>
        <d v="2025-09-09T08:32:20"/>
        <d v="2025-09-09T13:41:52"/>
        <d v="2025-09-13T08:25:49"/>
        <d v="2025-09-15T11:15:21"/>
        <d v="2025-09-15T11:23:05"/>
        <d v="2025-09-16T00:26:29"/>
        <d v="2025-09-16T04:32:12"/>
        <d v="2025-09-16T21:51:48"/>
        <d v="2025-09-18T13:20:37"/>
        <d v="2025-09-18T15:17:54"/>
        <d v="2025-09-18T16:49:58"/>
        <d v="2025-09-19T17:09:14"/>
        <d v="2025-09-19T17:11:47"/>
        <d v="2025-09-20T04:02:22"/>
        <d v="2025-09-20T04:03:08"/>
        <d v="2025-09-20T04:05:00"/>
        <d v="2025-09-20T04:05:51"/>
        <d v="2025-09-20T04:07:03"/>
        <d v="2025-09-20T04:07:59"/>
        <d v="2025-09-20T04:08:49"/>
        <d v="2025-09-20T04:10:30"/>
        <d v="2025-09-20T04:11:32"/>
        <d v="2025-09-20T04:12:28"/>
        <d v="2025-09-20T05:37:11"/>
        <d v="2025-09-24T13:34:03"/>
        <d v="2025-09-25T05:10:40"/>
        <d v="2025-09-25T06:39:02"/>
        <d v="2025-09-25T06:47:23"/>
        <d v="2025-09-26T05:10:55"/>
        <d v="2025-09-27T01:08:24"/>
        <d v="2025-09-29T12:47:49"/>
        <d v="2025-09-29T15:15:22"/>
        <d v="2025-09-29T16:58:49"/>
        <d v="2025-09-30T04:25:22"/>
        <d v="2025-09-30T10:16:50"/>
        <d v="2025-10-06T05:45:50"/>
        <d v="2025-10-06T05:46:12"/>
        <d v="2025-10-06T05:48:02"/>
        <d v="2025-10-07T17:42:37"/>
        <d v="2025-10-07T23:04:56"/>
        <d v="2025-10-07T23:10:37"/>
        <d v="2025-10-15T05:46:45"/>
        <d v="2025-10-15T09:54:01"/>
        <d v="2025-10-15T11:00:40"/>
        <d v="2025-10-15T20:38:12"/>
        <d v="2025-10-16T15:36:15"/>
        <d v="2025-10-21T08:08:35"/>
        <d v="2025-10-21T13:56:20"/>
        <d v="2025-10-22T07:15:15"/>
        <d v="2025-10-24T10:27:53"/>
        <d v="2025-10-24T11:47:41"/>
        <d v="2025-10-27T09:21:25"/>
        <d v="2025-10-27T11:24:36"/>
        <d v="2025-10-28T05:54:54"/>
        <d v="2025-10-28T10:52:35"/>
        <d v="2025-10-29T15:04:13"/>
        <d v="2025-10-29T15:52:49"/>
        <d v="2025-10-29T15:56:11"/>
        <d v="2025-10-30T02:05:50"/>
        <d v="2025-10-31T15:23:33"/>
        <d v="2025-10-31T16:27:20"/>
        <d v="2025-11-01T00:37:21"/>
        <d v="2025-11-01T01:14:40"/>
        <d v="2025-11-01T16:49:23"/>
        <d v="2025-11-03T13:42:15"/>
        <d v="2025-11-08T01:20:47"/>
        <d v="2025-11-10T00:59:59"/>
        <d v="2025-11-10T04:39:15"/>
        <d v="2025-11-10T08:44:23"/>
        <d v="2025-11-10T20:08:53"/>
        <d v="2025-11-11T04:59:55"/>
        <d v="2025-11-11T05:05:38"/>
        <d v="2025-11-11T09:54:17"/>
        <d v="2025-11-11T17:15:26"/>
        <d v="2025-11-12T09:56:53"/>
        <d v="2025-11-12T13:29:07"/>
        <d v="2025-11-12T15:27:16"/>
        <d v="2025-11-13T03:23:07"/>
        <d v="2025-11-13T05:08:43"/>
        <d v="2025-11-13T05:15:04"/>
        <d v="2025-11-13T05:21:09"/>
        <d v="2025-11-13T13:18:43"/>
        <d v="2025-11-13T16:53:46"/>
        <d v="2025-11-13T16:55:32"/>
        <d v="2025-11-14T14:17:38"/>
        <d v="2025-11-17T15:04:07"/>
        <d v="2025-11-17T15:22:41"/>
        <d v="2025-11-17T16:03:02"/>
        <d v="2025-11-18T09:59:21"/>
        <d v="2025-11-19T09:33:36"/>
        <d v="2025-11-19T09:43:06"/>
        <d v="2025-11-19T17:48:26"/>
        <d v="2025-11-21T00:15:26"/>
        <d v="2025-11-21T00:17:08"/>
        <d v="2025-11-25T10:42:37"/>
        <d v="2025-11-26T01:16:27"/>
        <d v="2025-11-27T07:48:08"/>
        <d v="2025-11-27T10:07:26"/>
        <d v="2025-11-27T10:17:03"/>
        <d v="2025-11-27T11:02:05"/>
        <d v="2025-11-28T02:23:25"/>
        <d v="2025-12-01T09:47:27"/>
        <d v="2025-12-01T14:37:08"/>
        <d v="2025-12-01T16:18:27"/>
        <d v="2025-12-05T10:45:24"/>
        <d v="2025-12-06T00:23:18"/>
        <d v="2025-12-06T00:29:35"/>
        <d v="2025-12-06T00:33:27"/>
        <d v="2025-12-06T00:39:13"/>
        <d v="2025-12-06T00:41:34"/>
        <d v="2025-12-06T00:53:35"/>
        <d v="2025-12-06T00:54:12"/>
        <d v="2025-12-06T00:54:46"/>
        <d v="2025-12-06T00:55:28"/>
        <d v="2025-12-06T00:56:08"/>
        <d v="2025-12-08T21:25:30"/>
        <d v="2025-12-09T05:45:53"/>
        <d v="2025-12-11T09:41:10"/>
        <d v="2025-12-11T23:08:39"/>
        <d v="2025-12-11T23:53:56"/>
        <d v="2025-12-12T05:57:50"/>
        <d v="2025-12-12T07:54:30"/>
        <d v="2025-12-12T08:11:30"/>
        <d v="2025-12-12T15:48:13"/>
        <d v="2025-12-13T18:16:07"/>
        <d v="2025-12-15T13:23:10"/>
        <d v="2025-12-15T14:40:15"/>
        <d v="2025-12-16T10:23:35"/>
        <d v="2025-12-17T15:10:40"/>
        <d v="2025-12-17T15:16:57"/>
        <d v="2025-12-17T15:58:36"/>
        <d v="2026-01-05T18:42:13"/>
        <d v="2026-01-06T18:01:55"/>
        <d v="2026-01-06T18:03:05"/>
        <d v="2026-01-07T09:47:12"/>
        <d v="2026-01-12T12:09:33"/>
        <d v="2026-01-12T12:14:30"/>
        <d v="2026-01-12T12:31:05"/>
        <d v="2026-01-12T12:36:19"/>
        <d v="2026-01-12T12:39:40"/>
        <d v="2026-01-19T08:10:25"/>
        <d v="2026-01-19T08:20:43"/>
        <d v="2026-01-20T04:49:43"/>
        <d v="2026-01-20T04:51:45"/>
        <d v="2026-01-20T04:53:05"/>
        <d v="2026-01-20T05:27:24"/>
        <d v="2026-01-24T16:51:49"/>
        <d v="2026-01-26T14:36:59"/>
        <d v="2026-01-26T15:23:10"/>
        <d v="2026-01-27T11:58:15"/>
        <d v="2026-02-02T21:29:53"/>
        <d v="2026-02-04T22:21:02"/>
        <d v="2026-02-09T10:04:31"/>
        <d v="2026-02-10T01:08:08"/>
        <d v="2026-02-10T08:44:39"/>
        <d v="2026-02-10T08:57:42"/>
        <d v="2026-02-10T09:15:28"/>
        <d v="2026-02-11T09:50:34"/>
        <d v="2026-02-11T13:54:54"/>
        <d v="2026-02-11T13:58:22"/>
        <d v="2026-02-13T03:28:21"/>
        <d v="2026-02-13T05:31:30"/>
        <d v="2026-02-19T08:21:50"/>
        <d v="2026-02-19T13:35:26"/>
        <d v="2026-02-23T10:14:51"/>
        <d v="2026-02-23T10:38:38"/>
        <d v="2026-02-23T10:53:36"/>
        <d v="2026-02-25T15:02:30"/>
        <d v="2026-02-27T08:11:36"/>
        <d v="2026-03-02T09:22:00"/>
        <d v="2026-03-02T10:58:36"/>
        <d v="2026-03-03T13:10:10"/>
        <d v="2026-03-04T01:11:19"/>
        <d v="2026-03-05T13:52:01"/>
        <d v="2026-03-06T02:06:23"/>
        <d v="2026-03-06T03:55:15"/>
        <d v="2026-03-07T01:17:56"/>
        <d v="2026-03-12T11:51:04"/>
        <d v="2026-03-21T19:38:47"/>
        <d v="2026-03-23T12:40:25"/>
        <d v="2026-03-23T12:43:09"/>
        <d v="2026-03-26T13:08:09"/>
        <d v="2026-03-26T16:51:13"/>
        <d v="2026-03-27T15:13:08"/>
        <d v="2026-03-27T15:16:50"/>
        <d v="2026-03-30T11:28:47"/>
        <d v="2026-03-30T13:52:50"/>
        <d v="2026-03-31T09:45:26"/>
        <d v="2026-04-02T18:13:16"/>
        <d v="2026-04-02T18:17:43"/>
        <d v="2026-04-09T08:04:01"/>
        <d v="2026-04-09T22:49:21"/>
        <d v="2026-04-10T09:59:53"/>
        <d v="2026-04-11T10:31:58"/>
        <d v="2026-04-11T10:38:28"/>
        <d v="2026-04-13T04:15:32"/>
        <d v="2026-04-14T16:04:16"/>
        <d v="2026-04-16T21:45:42"/>
        <d v="2026-04-22T09:31:17"/>
        <d v="2026-04-22T13:14:00"/>
        <d v="2026-04-23T15:17:01"/>
        <d v="2026-04-27T10:26:14"/>
        <d v="2026-04-28T04:46:59"/>
        <d v="2026-04-29T07:26:44"/>
        <d v="2026-04-29T13:31:32"/>
        <d v="2026-05-04T09:47:05"/>
        <d v="2026-05-06T12:11:49"/>
        <d v="2026-05-06T12:18:10"/>
        <d v="2026-05-06T13:56:04"/>
        <d v="2026-05-07T16:52:37"/>
        <d v="2026-05-07T21:40:19"/>
        <d v="2026-05-08T11:22:35"/>
        <d v="2026-05-08T17:25:39"/>
        <d v="2026-05-14T14:55:18"/>
        <d v="2026-05-16T10:52:11"/>
        <d v="2026-05-18T07:48:35"/>
        <d v="2026-05-23T10:51:46"/>
        <d v="2026-05-25T12:30:09"/>
        <d v="2026-05-25T12:38:10"/>
        <d v="2026-05-26T14:13:44"/>
        <d v="2026-05-27T01:49:38"/>
        <d v="2026-05-28T13:26:27"/>
        <d v="2026-05-28T14:09:15"/>
        <d v="2026-05-29T15:30:02"/>
        <d v="2026-06-01T15:30:07"/>
        <d v="2026-06-02T04:18:20"/>
        <d v="2026-06-02T18:41:13"/>
        <d v="2026-06-04T00:39:18"/>
        <d v="2026-06-04T05:31:01"/>
        <d v="2026-06-04T13:19:32"/>
        <d v="2026-06-08T21:06:09"/>
        <d v="2026-06-09T01:38:19"/>
        <d v="2026-06-10T03:13:50"/>
        <d v="2026-06-10T09:21:58"/>
        <d v="2026-06-10T09:44:49"/>
        <d v="2026-06-10T13:51:20"/>
        <d v="2026-06-11T08:13:45"/>
        <d v="2026-06-11T09:49:34"/>
        <d v="2026-06-11T11:14:47"/>
        <d v="2026-06-14T23:43:40"/>
        <d v="2026-06-15T14:57:19"/>
        <d v="2026-06-15T15:24:13"/>
        <d v="2026-06-18T15:13:18"/>
        <d v="2026-06-19T02:52:35"/>
        <d v="2026-06-19T19:46:07"/>
        <d v="2026-06-20T13:13:57"/>
        <d v="2026-06-22T13:59:37"/>
        <d v="2026-06-22T14:53:19"/>
        <d v="2026-06-23T10:53:10"/>
        <d v="2026-06-23T14:36:03"/>
        <d v="2026-06-24T07:22:46"/>
        <d v="2026-06-24T10:40:13"/>
        <d v="2026-06-24T12:46:22"/>
        <d v="2026-06-25T08:16:13"/>
        <d v="2026-06-25T11:15:22"/>
        <d v="2026-06-25T11:22:50"/>
        <d v="2026-06-25T13:28:32"/>
        <d v="2026-06-26T08:53:49"/>
        <d v="2026-06-26T11:19:20"/>
        <d v="2026-07-01T20:37:36"/>
        <d v="2026-07-02T18:17:38"/>
        <d v="2026-07-02T20:27:54"/>
        <d v="2026-07-02T20:28:55"/>
        <d v="2026-07-02T21:05:36"/>
        <d v="2026-07-03T13:12:35"/>
        <d v="2026-07-04T09:41:44"/>
        <d v="2026-07-06T17:36:41"/>
        <d v="2026-07-09T09:38:43"/>
        <d v="2026-07-15T21:30:41"/>
        <d v="2026-07-20T19:59:38"/>
        <d v="2026-07-21T19:01:57"/>
        <d v="2026-07-23T17:29:51"/>
        <d v="2026-07-23T17:33:46"/>
        <d v="2026-07-23T20:15:50"/>
        <d v="2026-07-24T11:43:29"/>
        <d v="2026-07-25T17:18:51"/>
        <d v="2026-07-28T11:55:44"/>
        <d v="2026-07-30T14:40:19"/>
        <d v="2026-07-30T14:48:35"/>
        <d v="2026-07-30T15:01:28"/>
        <d v="2026-08-01T20:32:40"/>
        <d v="2026-08-05T07:51:21"/>
        <d v="2026-08-05T07:54:15"/>
        <d v="2026-08-05T12:30:19"/>
        <d v="2026-08-06T11:37:48"/>
        <d v="2026-08-10T13:17:58"/>
        <d v="2026-08-11T00:07:51"/>
        <d v="2026-08-11T00:15:19"/>
        <d v="2026-08-11T10:19:50"/>
        <d v="2026-08-11T10:29:50"/>
        <d v="2026-08-11T11:44:16"/>
        <d v="2026-08-12T17:29:20"/>
        <d v="2026-08-13T17:24:01"/>
        <d v="2026-08-17T21:04:50"/>
        <d v="2026-08-22T12:59:07"/>
        <d v="2026-08-24T20:49:58"/>
        <d v="2026-08-25T13:45:54"/>
        <d v="2026-08-25T17:55:58"/>
        <d v="2026-08-26T09:12:08"/>
        <d v="2026-08-26T15:14:20"/>
        <d v="2026-08-31T16:44:01"/>
        <d v="2026-08-31T18:57:53"/>
        <d v="2026-09-01T07:25:34"/>
        <d v="2026-09-04T05:27:44"/>
        <d v="2026-09-04T15:44:27"/>
        <d v="2026-09-04T15:50:12"/>
        <d v="2026-09-04T15:54:40"/>
        <d v="2026-09-08T13:56:30"/>
        <d v="2026-09-09T14:12:16"/>
        <d v="2026-09-10T08:39:57"/>
        <d v="2026-09-16T19:12:53"/>
        <d v="2026-09-16T20:17:17"/>
        <d v="2026-09-16T20:19:22"/>
        <d v="2026-09-18T09:26:09"/>
        <d v="2026-09-18T09:39:09"/>
        <m/>
      </sharedItems>
      <fieldGroup par="18"/>
    </cacheField>
    <cacheField name="Área de trabalho" numFmtId="49">
      <sharedItems containsBlank="1" count="46">
        <s v="04. EMPACOTAMENTO"/>
        <s v="01. LINHA 01"/>
        <s v="02. TORREFAÇÃO"/>
        <s v="03. MOAGEM"/>
        <s v="09.1 ALMOXARIFADO"/>
        <s v="04. LINHA 04"/>
        <s v="09.16 Qualidade CQ"/>
        <s v="05. LINHA 05"/>
        <s v="01. CAFÉ CRU"/>
        <s v="14. SILOS CAFE MOIDO"/>
        <s v="08. LOGISTICA"/>
        <s v="01. TORRADORES"/>
        <s v="03. TORRADOR 03"/>
        <s v="09.5 BANHEIROS "/>
        <s v="01. MOINHO 05"/>
        <s v="01. MOINHO 01"/>
        <s v="06. ADMINISTRATIVO"/>
        <s v="01. TORRADOR 01"/>
        <s v="09.14 PORTARIA"/>
        <s v="02. LINHA 02"/>
        <s v="01. JDE CAFES DO BRASIL UNIDADE PIUMHI"/>
        <s v="03. LINHA 03"/>
        <s v="09.19 SALA DE PRODUTOS QUÍMICOS "/>
        <s v="06. PALETIZADORAS DE FARDOS"/>
        <s v="05. MOEGAS"/>
        <s v="09.20 SALA DE REUNIÃO"/>
        <s v="09.12 PÁTIO INTERNO"/>
        <s v="09. PENEIRAS"/>
        <s v="07. LINHA 07"/>
        <s v="09.17 REFEITÓRIO"/>
        <s v="08. SOPRADORES"/>
        <s v="02. SISTEMA DE CAVACO"/>
        <s v="09.2. ÁREA DE RESÍDUOS "/>
        <s v="09.4 ÁREA EXTERNA"/>
        <s v="09.6 BARREIRA SANITÁRIA"/>
        <s v="01. DOCAS"/>
        <s v="10. DISTRIBUIDORES"/>
        <s v="03. CABLEVEY"/>
        <s v="09.10 Escritórios administrativos"/>
        <s v="08. BIOMASSA"/>
        <s v="02. MOAGEM LINHA 02"/>
        <s v="05. MOAGEM LINHA 05"/>
        <s v="03. SILOS"/>
        <s v="01. ELEVADOR CANECAS"/>
        <s v="07. AREAS EXTERNAS"/>
        <m/>
      </sharedItems>
    </cacheField>
    <cacheField name="Atualizado" numFmtId="0">
      <sharedItems containsNonDate="0" containsDate="1" containsString="0" containsBlank="1" minDate="2024-08-19T13:30:17" maxDate="2026-09-18T09:50:35"/>
    </cacheField>
    <cacheField name="Atribuído a" numFmtId="49">
      <sharedItems containsBlank="1"/>
    </cacheField>
    <cacheField name="Grupo de atribuição" numFmtId="49">
      <sharedItems containsBlank="1"/>
    </cacheField>
    <cacheField name="Fechado" numFmtId="0">
      <sharedItems containsNonDate="0" containsDate="1" containsString="0" containsBlank="1" minDate="2024-08-19T13:30:17" maxDate="2026-09-09T15:02:36"/>
    </cacheField>
    <cacheField name="Status controle interno " numFmtId="0">
      <sharedItems containsBlank="1"/>
    </cacheField>
    <cacheField name="Grupo" numFmtId="0">
      <sharedItems containsBlank="1" count="3">
        <s v="OPERAÇÃO"/>
        <s v="ADM/TÉCNICO/ASSISTENTE/ESTAG."/>
        <m/>
      </sharedItems>
    </cacheField>
    <cacheField name="canceladas" numFmtId="0">
      <sharedItems containsBlank="1"/>
    </cacheField>
    <cacheField name="Meses (Criada)" numFmtId="0" databaseField="0">
      <fieldGroup base="7">
        <rangePr groupBy="months" startDate="2024-08-02T09:53:28" endDate="2026-09-18T09:39:09"/>
        <groupItems count="14">
          <s v="&lt;02/08/2024"/>
          <s v="jan"/>
          <s v="fev"/>
          <s v="mar"/>
          <s v="abr"/>
          <s v="mai"/>
          <s v="jun"/>
          <s v="jul"/>
          <s v="ago"/>
          <s v="set"/>
          <s v="out"/>
          <s v="nov"/>
          <s v="dez"/>
          <s v="&gt;18/09/2026"/>
        </groupItems>
      </fieldGroup>
    </cacheField>
    <cacheField name="Trimestres (Criada)" numFmtId="0" databaseField="0">
      <fieldGroup base="7">
        <rangePr groupBy="quarters" startDate="2024-08-02T09:53:28" endDate="2026-09-18T09:39:09"/>
        <groupItems count="6">
          <s v="&lt;02/08/2024"/>
          <s v="Trim1"/>
          <s v="Trim2"/>
          <s v="Trim3"/>
          <s v="Trim4"/>
          <s v="&gt;18/09/2026"/>
        </groupItems>
      </fieldGroup>
    </cacheField>
    <cacheField name="Anos (Criada)" numFmtId="0" databaseField="0">
      <fieldGroup base="7">
        <rangePr groupBy="years" startDate="2024-08-02T09:53:28" endDate="2026-09-18T09:39:09"/>
        <groupItems count="5">
          <s v="&lt;02/08/2024"/>
          <s v="2024"/>
          <s v="2025"/>
          <s v="2026"/>
          <s v="&gt;18/09/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eira, Jhonnathan" refreshedDate="46283.579106134261" createdVersion="8" refreshedVersion="8" minRefreshableVersion="3" recordCount="608" xr:uid="{5077317A-C105-467E-9B57-75ABA59627B9}">
  <cacheSource type="worksheet">
    <worksheetSource ref="A1:O1033" sheet="tabela ideias"/>
  </cacheSource>
  <cacheFields count="15">
    <cacheField name="Número " numFmtId="49">
      <sharedItems containsBlank="1"/>
    </cacheField>
    <cacheField name="Descrição curta" numFmtId="49">
      <sharedItems containsBlank="1"/>
    </cacheField>
    <cacheField name="Status" numFmtId="0">
      <sharedItems containsBlank="1"/>
    </cacheField>
    <cacheField name="Descrição" numFmtId="49">
      <sharedItems containsBlank="1" longText="1"/>
    </cacheField>
    <cacheField name="Enviado por" numFmtId="49">
      <sharedItems containsBlank="1" count="101">
        <s v="Isaias Macedo"/>
        <s v="Patrick Pessoa"/>
        <s v="Edvan Santos"/>
        <s v="Luiz H Silva"/>
        <s v="Sarah Teixeira"/>
        <s v="Vinicius De Oliveira"/>
        <s v="Wesley J Silva"/>
        <s v="Valdeci Simoes"/>
        <s v="Leonardo Junior"/>
        <s v="Julho Silva"/>
        <s v="Nilton F Costa"/>
        <s v="Jose Junior"/>
        <s v="Arthur Silva"/>
        <s v="Giovanna Biffaratte"/>
        <s v="Rafael Santos"/>
        <s v="Joelma Inone"/>
        <s v="Romero Chaves"/>
        <s v="Luzia Rodrigues"/>
        <s v="Lucas Vaz"/>
        <s v="Angela Santos"/>
        <s v="Bianca Silva"/>
        <s v="Camila Silva"/>
        <m/>
        <s v="Emilly Silva"/>
        <s v="Diogo Silva"/>
        <s v="Sara Lobato"/>
        <s v="Michelle Faria"/>
        <s v="Diego T Oliveira"/>
        <s v="Alex Teixeira"/>
        <s v="Edvaldo Silva"/>
        <s v="Henrique Cardoso"/>
        <s v="Relton Moraes"/>
        <s v="Lais Silveira"/>
        <s v="Vitor Xavier"/>
        <s v="Fabio A Oliveira"/>
        <s v="Iranildo Costa"/>
        <s v="Talita Campos"/>
        <s v="Daniel Madureira"/>
        <s v="Karina Silva"/>
        <s v="Alexandre Oliveira"/>
        <s v="Gean Silva"/>
        <s v="Ruth Ribeiro"/>
        <s v="Izabela Pugliesi"/>
        <s v="Ana Pereira"/>
        <s v="Aline Fernandes"/>
        <s v="Weverton Medeiro"/>
        <s v="Pedro Ferreira"/>
        <s v="Fabio S Santos"/>
        <s v="Fabricio Brant"/>
        <s v="Carlos Souza"/>
        <s v="Moises Costa"/>
        <s v="Andre Campos"/>
        <s v="Bruna Santos"/>
        <s v="Michel Felipe da Silva Pio"/>
        <s v="Romilda Cunha"/>
        <s v="Tiago Carvalho"/>
        <s v="Mauricio Ferreira"/>
        <s v="Douglas Destefani"/>
        <s v="Leandro Freire"/>
        <s v="RICARDO BARBOSA"/>
        <s v="Fabrizia Soares"/>
        <s v="Ana Martins"/>
        <s v="Jader Costa"/>
        <s v="Thais Souza"/>
        <s v="Eduardo Candido"/>
        <s v="Ruth  Alves"/>
        <s v="Felipe Cuzzuol"/>
        <s v="Rosemere Santana"/>
        <s v="Jhonnathan Pereira"/>
        <s v="Guilherme Oliveira"/>
        <s v="Samuel Camargos"/>
        <s v="Valeria Yanez"/>
        <s v="Ivomar Costa"/>
        <s v="BRUNO BARCELOS RESENDE"/>
        <s v="Ruth Fonseca"/>
        <s v="Pablulo Andrade"/>
        <s v="Fernando J Santos"/>
        <s v="Carlos E Santos"/>
        <s v="Ana Julia Costa Silva"/>
        <s v="Andre Mendes Costa"/>
        <s v="Abner Paiva"/>
        <s v="Ilbert Caetano"/>
        <s v="Eliezer Silva"/>
        <s v="Matheus Rodrigues"/>
        <s v="Alice Morais"/>
        <s v="Alex Barbara"/>
        <s v="Flavia Silveira"/>
        <s v="Weverton Rodrigues"/>
        <s v="Bruno Resende"/>
        <s v="Daniela Alves"/>
        <s v="Igor Sousa"/>
        <s v="Vinicius Oliveira"/>
        <s v="Anderson Santana"/>
        <s v="Wallace Pereira"/>
        <s v="Lara Resende"/>
        <s v="Michel  Felipe da Silva Pio" u="1"/>
        <s v="Pedro Sampaio" u="1"/>
        <s v="Pedro Coelho" u="1"/>
        <s v="Ana Julia Costa  Silva" u="1"/>
        <s v="" u="1"/>
        <s v="Raniele Santos" u="1"/>
      </sharedItems>
    </cacheField>
    <cacheField name="Categoria" numFmtId="49">
      <sharedItems containsBlank="1"/>
    </cacheField>
    <cacheField name="Sub categoria" numFmtId="49">
      <sharedItems containsBlank="1"/>
    </cacheField>
    <cacheField name="Criada" numFmtId="0">
      <sharedItems containsNonDate="0" containsDate="1" containsString="0" containsBlank="1" minDate="2024-08-02T09:53:28" maxDate="2026-09-18T09:39:09" count="607">
        <d v="2024-08-02T09:53:28"/>
        <d v="2024-08-05T09:38:42"/>
        <d v="2024-08-06T05:30:34"/>
        <d v="2024-08-06T05:54:52"/>
        <d v="2024-08-06T14:27:38"/>
        <d v="2024-08-08T16:30:58"/>
        <d v="2024-08-08T16:39:24"/>
        <d v="2024-08-08T16:53:52"/>
        <d v="2024-08-09T07:18:42"/>
        <d v="2024-08-09T08:14:09"/>
        <d v="2024-08-12T05:10:07"/>
        <d v="2024-08-12T09:15:51"/>
        <d v="2024-08-12T09:32:36"/>
        <d v="2024-08-13T00:08:41"/>
        <d v="2024-08-13T08:38:36"/>
        <d v="2024-08-13T09:01:07"/>
        <d v="2024-08-14T01:47:40"/>
        <d v="2024-08-14T01:53:47"/>
        <d v="2024-08-14T02:53:21"/>
        <d v="2024-08-16T09:47:37"/>
        <d v="2024-08-16T11:35:33"/>
        <d v="2024-08-19T17:27:41"/>
        <d v="2024-08-19T17:36:44"/>
        <d v="2024-08-23T07:15:05"/>
        <d v="2024-08-26T11:24:40"/>
        <d v="2024-08-28T05:35:20"/>
        <d v="2024-09-11T12:19:33"/>
        <d v="2024-09-17T21:58:01"/>
        <d v="2024-09-19T19:43:55"/>
        <d v="2024-09-27T18:36:05"/>
        <d v="2024-10-01T12:36:54"/>
        <d v="2024-10-03T13:37:32"/>
        <d v="2024-10-08T14:41:53"/>
        <d v="2024-10-09T00:28:03"/>
        <d v="2024-10-10T00:01:49"/>
        <d v="2024-10-10T01:18:49"/>
        <d v="2024-10-10T10:04:12"/>
        <d v="2024-10-16T10:02:40"/>
        <d v="2024-10-17T09:05:39"/>
        <d v="2024-10-17T09:31:44"/>
        <d v="2024-10-17T09:35:13"/>
        <d v="2024-10-17T10:28:15"/>
        <d v="2024-10-21T17:28:19"/>
        <d v="2024-10-22T11:45:53"/>
        <d v="2024-10-22T12:03:28"/>
        <d v="2024-10-22T14:41:38"/>
        <d v="2024-10-24T06:47:00"/>
        <d v="2024-10-25T07:53:38"/>
        <d v="2024-10-29T03:46:12"/>
        <d v="2024-10-30T10:05:38"/>
        <d v="2024-10-30T15:18:40"/>
        <d v="2024-10-31T01:41:13"/>
        <d v="2024-10-31T13:57:54"/>
        <d v="2024-10-31T13:59:31"/>
        <d v="2024-10-31T19:04:29"/>
        <d v="2024-10-31T21:21:15"/>
        <d v="2024-11-01T23:25:54"/>
        <d v="2024-11-03T06:44:51"/>
        <d v="2024-11-04T08:23:20"/>
        <d v="2024-11-05T19:49:42"/>
        <d v="2024-11-06T13:52:06"/>
        <d v="2024-11-06T19:57:58"/>
        <d v="2024-11-07T03:26:07"/>
        <d v="2024-11-07T03:37:21"/>
        <d v="2024-11-08T02:39:29"/>
        <d v="2024-11-08T09:52:11"/>
        <d v="2024-11-09T07:45:01"/>
        <d v="2024-11-11T18:55:37"/>
        <d v="2024-11-11T22:00:02"/>
        <d v="2024-11-12T00:08:07"/>
        <d v="2024-11-12T18:54:35"/>
        <d v="2024-11-12T23:13:49"/>
        <d v="2024-11-12T23:31:17"/>
        <d v="2024-11-13T04:43:24"/>
        <d v="2024-11-19T14:20:17"/>
        <d v="2024-11-20T08:39:58"/>
        <d v="2024-11-23T17:15:03"/>
        <d v="2024-11-26T11:57:47"/>
        <d v="2024-11-28T04:02:37"/>
        <d v="2024-11-29T17:05:22"/>
        <d v="2024-11-29T17:08:08"/>
        <d v="2024-11-29T17:34:48"/>
        <d v="2024-11-29T17:35:39"/>
        <d v="2024-12-04T23:30:57"/>
        <d v="2024-12-05T20:45:38"/>
        <d v="2024-12-05T23:21:06"/>
        <d v="2024-12-06T11:37:43"/>
        <d v="2024-12-12T09:51:21"/>
        <d v="2024-12-12T09:54:18"/>
        <d v="2024-12-12T09:57:58"/>
        <d v="2024-12-12T11:51:37"/>
        <d v="2024-12-12T18:13:32"/>
        <d v="2024-12-14T09:21:08"/>
        <d v="2024-12-14T09:26:33"/>
        <d v="2024-12-14T09:37:08"/>
        <d v="2024-12-17T06:23:56"/>
        <d v="2024-12-17T10:11:11"/>
        <d v="2025-01-07T09:17:28"/>
        <d v="2025-01-14T17:26:53"/>
        <d v="2025-01-16T10:26:51"/>
        <d v="2025-01-16T11:49:54"/>
        <d v="2025-01-22T08:29:02"/>
        <d v="2025-01-25T11:30:56"/>
        <d v="2025-01-27T09:10:42"/>
        <d v="2025-02-05T23:25:17"/>
        <d v="2025-02-10T11:23:48"/>
        <d v="2025-02-10T12:33:11"/>
        <d v="2025-02-10T14:59:07"/>
        <d v="2025-02-18T14:04:31"/>
        <d v="2025-02-18T14:34:37"/>
        <d v="2025-02-19T09:49:06"/>
        <d v="2025-02-25T15:35:09"/>
        <d v="2025-02-25T20:00:14"/>
        <d v="2025-02-25T23:55:10"/>
        <d v="2025-02-26T08:09:01"/>
        <d v="2025-02-28T14:38:55"/>
        <d v="2025-03-05T23:05:49"/>
        <d v="2025-03-07T10:06:29"/>
        <d v="2025-03-15T12:56:00"/>
        <d v="2025-03-19T12:04:40"/>
        <d v="2025-03-24T09:23:04"/>
        <d v="2025-03-24T10:24:38"/>
        <d v="2025-03-24T15:15:46"/>
        <d v="2025-03-31T05:01:02"/>
        <d v="2025-03-31T09:05:15"/>
        <d v="2025-04-02T04:40:33"/>
        <d v="2025-04-03T08:27:48"/>
        <d v="2025-04-03T11:30:52"/>
        <d v="2025-04-03T23:58:20"/>
        <d v="2025-04-05T03:40:48"/>
        <d v="2025-04-05T06:40:58"/>
        <d v="2025-04-09T15:25:00"/>
        <d v="2025-04-09T18:00:01"/>
        <d v="2025-04-12T15:16:21"/>
        <d v="2025-04-14T00:29:29"/>
        <d v="2025-04-15T13:51:26"/>
        <d v="2025-04-16T22:07:29"/>
        <d v="2025-04-24T08:16:13"/>
        <d v="2025-04-24T09:08:00"/>
        <d v="2025-04-24T18:18:20"/>
        <d v="2025-04-24T18:44:26"/>
        <d v="2025-04-25T07:24:16"/>
        <d v="2025-04-25T08:16:39"/>
        <d v="2025-04-25T10:00:06"/>
        <d v="2025-04-26T03:44:59"/>
        <d v="2025-04-26T16:33:14"/>
        <d v="2025-04-29T13:51:17"/>
        <d v="2025-04-30T16:57:23"/>
        <d v="2025-05-01T01:57:27"/>
        <d v="2025-05-01T01:58:49"/>
        <d v="2025-05-01T03:29:31"/>
        <d v="2025-05-01T04:33:23"/>
        <d v="2025-05-01T04:39:10"/>
        <d v="2025-05-01T04:41:07"/>
        <d v="2025-05-01T04:42:10"/>
        <d v="2025-05-01T04:46:20"/>
        <d v="2025-05-01T10:52:28"/>
        <d v="2025-05-02T11:20:21"/>
        <d v="2025-05-02T17:41:18"/>
        <d v="2025-05-03T01:32:13"/>
        <d v="2025-05-03T10:02:40"/>
        <d v="2025-05-08T09:11:45"/>
        <d v="2025-05-08T13:51:15"/>
        <d v="2025-05-10T01:52:14"/>
        <d v="2025-05-12T13:22:53"/>
        <d v="2025-05-12T15:25:08"/>
        <d v="2025-05-14T09:02:38"/>
        <d v="2025-05-20T12:13:42"/>
        <d v="2025-05-21T08:24:17"/>
        <d v="2025-05-21T13:29:33"/>
        <d v="2025-05-23T09:05:04"/>
        <d v="2025-05-24T12:30:09"/>
        <d v="2025-05-28T05:41:17"/>
        <d v="2025-05-28T10:03:59"/>
        <d v="2025-05-29T21:10:56"/>
        <d v="2025-05-29T21:21:27"/>
        <d v="2025-05-29T21:24:37"/>
        <d v="2025-06-02T10:43:35"/>
        <d v="2025-06-03T22:31:11"/>
        <d v="2025-06-04T10:47:36"/>
        <d v="2025-06-04T11:14:49"/>
        <d v="2025-06-04T11:48:07"/>
        <d v="2025-06-05T12:28:24"/>
        <d v="2025-06-05T13:32:34"/>
        <d v="2025-06-05T21:57:02"/>
        <d v="2025-06-06T08:41:18"/>
        <d v="2025-06-06T08:51:12"/>
        <d v="2025-06-06T10:55:13"/>
        <d v="2025-06-06T23:30:45"/>
        <d v="2025-06-09T01:48:14"/>
        <d v="2025-06-10T11:34:30"/>
        <d v="2025-06-11T21:57:40"/>
        <d v="2025-06-12T13:25:10"/>
        <d v="2025-06-12T15:20:36"/>
        <d v="2025-06-13T00:19:04"/>
        <d v="2025-06-16T04:46:06"/>
        <d v="2025-06-16T12:03:13"/>
        <d v="2025-06-16T13:08:24"/>
        <d v="2025-06-18T01:48:36"/>
        <d v="2025-06-18T09:41:39"/>
        <d v="2025-06-18T17:10:01"/>
        <d v="2025-06-19T00:11:14"/>
        <d v="2025-06-19T10:54:14"/>
        <d v="2025-06-19T21:47:58"/>
        <d v="2025-06-19T21:51:33"/>
        <d v="2025-06-21T05:36:05"/>
        <d v="2025-06-23T08:50:15"/>
        <d v="2025-06-23T12:06:44"/>
        <d v="2025-06-23T15:52:13"/>
        <d v="2025-06-24T02:05:59"/>
        <d v="2025-06-24T02:10:16"/>
        <d v="2025-06-24T05:15:21"/>
        <d v="2025-06-25T22:29:12"/>
        <d v="2025-06-28T02:19:25"/>
        <d v="2025-07-01T03:05:36"/>
        <d v="2025-07-01T03:13:53"/>
        <d v="2025-07-01T03:26:07"/>
        <d v="2025-07-01T17:14:52"/>
        <d v="2025-07-02T11:45:33"/>
        <d v="2025-07-02T11:53:24"/>
        <d v="2025-07-03T09:17:59"/>
        <d v="2025-07-03T13:16:25"/>
        <d v="2025-07-03T17:01:05"/>
        <d v="2025-07-03T21:14:01"/>
        <d v="2025-07-03T21:25:29"/>
        <d v="2025-07-07T05:27:35"/>
        <d v="2025-07-07T11:54:50"/>
        <d v="2025-07-08T02:53:22"/>
        <d v="2025-07-08T04:53:29"/>
        <d v="2025-07-08T07:30:00"/>
        <d v="2025-07-08T08:15:14"/>
        <d v="2025-07-08T09:31:31"/>
        <d v="2025-07-09T11:47:53"/>
        <d v="2025-07-10T11:02:35"/>
        <d v="2025-07-10T11:17:43"/>
        <d v="2025-07-11T20:55:34"/>
        <d v="2025-07-12T09:06:24"/>
        <d v="2025-07-12T10:33:23"/>
        <d v="2025-07-14T16:54:54"/>
        <d v="2025-07-15T07:22:59"/>
        <d v="2025-07-15T17:38:10"/>
        <d v="2025-07-16T16:58:02"/>
        <d v="2025-07-17T10:27:33"/>
        <d v="2025-07-17T10:31:08"/>
        <d v="2025-07-17T10:35:57"/>
        <d v="2025-07-17T10:41:22"/>
        <d v="2025-07-22T02:41:46"/>
        <d v="2025-07-22T23:12:32"/>
        <d v="2025-07-23T12:10:10"/>
        <d v="2025-07-24T02:16:31"/>
        <d v="2025-07-24T09:56:26"/>
        <d v="2025-07-25T05:23:07"/>
        <d v="2025-07-25T05:50:24"/>
        <d v="2025-07-25T20:29:34"/>
        <d v="2025-07-28T01:16:38"/>
        <d v="2025-07-28T15:00:37"/>
        <d v="2025-07-28T21:37:19"/>
        <d v="2025-07-29T04:54:15"/>
        <d v="2025-07-29T04:56:27"/>
        <d v="2025-08-02T03:41:58"/>
        <d v="2025-08-02T21:08:11"/>
        <d v="2025-08-05T05:42:38"/>
        <d v="2025-08-06T06:44:11"/>
        <d v="2025-08-06T10:16:47"/>
        <d v="2025-08-06T13:03:34"/>
        <d v="2025-08-07T22:45:15"/>
        <d v="2025-08-08T13:16:32"/>
        <d v="2025-08-08T23:02:49"/>
        <d v="2025-08-08T23:30:24"/>
        <d v="2025-08-12T04:43:34"/>
        <d v="2025-08-12T04:45:12"/>
        <d v="2025-08-13T21:28:19"/>
        <d v="2025-08-14T11:20:16"/>
        <d v="2025-08-14T11:26:32"/>
        <d v="2025-08-14T11:41:33"/>
        <d v="2025-08-14T12:58:32"/>
        <d v="2025-08-15T12:43:52"/>
        <d v="2025-08-20T11:33:27"/>
        <d v="2025-08-20T15:33:55"/>
        <d v="2025-08-22T01:47:39"/>
        <d v="2025-08-22T16:15:30"/>
        <d v="2025-08-22T16:17:31"/>
        <d v="2025-08-22T16:20:13"/>
        <d v="2025-08-22T23:44:23"/>
        <d v="2025-08-25T10:28:08"/>
        <d v="2025-09-03T12:26:23"/>
        <d v="2025-09-03T15:41:44"/>
        <d v="2025-09-04T09:33:36"/>
        <d v="2025-09-05T01:31:08"/>
        <d v="2025-09-05T18:14:59"/>
        <d v="2025-09-08T17:07:23"/>
        <d v="2025-09-09T08:32:20"/>
        <d v="2025-09-09T13:41:52"/>
        <d v="2025-09-13T08:25:49"/>
        <d v="2025-09-15T11:15:21"/>
        <d v="2025-09-15T11:23:05"/>
        <d v="2025-09-16T00:26:29"/>
        <d v="2025-09-16T04:32:12"/>
        <d v="2025-09-16T21:51:48"/>
        <d v="2025-09-18T13:20:37"/>
        <d v="2025-09-18T15:17:54"/>
        <d v="2025-09-18T16:49:58"/>
        <d v="2025-09-19T17:09:14"/>
        <d v="2025-09-19T17:11:47"/>
        <d v="2025-09-20T04:02:22"/>
        <d v="2025-09-20T04:03:08"/>
        <d v="2025-09-20T04:05:00"/>
        <d v="2025-09-20T04:05:51"/>
        <d v="2025-09-20T04:07:03"/>
        <d v="2025-09-20T04:07:59"/>
        <d v="2025-09-20T04:08:49"/>
        <d v="2025-09-20T04:10:30"/>
        <d v="2025-09-20T04:11:32"/>
        <d v="2025-09-20T04:12:28"/>
        <d v="2025-09-20T05:37:11"/>
        <d v="2025-09-24T13:34:03"/>
        <d v="2025-09-25T05:10:40"/>
        <d v="2025-09-25T06:39:02"/>
        <d v="2025-09-25T06:47:23"/>
        <d v="2025-09-26T05:10:55"/>
        <d v="2025-09-27T01:08:24"/>
        <d v="2025-09-29T12:47:49"/>
        <d v="2025-09-29T15:15:22"/>
        <d v="2025-09-29T16:58:49"/>
        <d v="2025-09-30T04:25:22"/>
        <d v="2025-09-30T10:16:50"/>
        <d v="2025-10-06T05:45:50"/>
        <d v="2025-10-06T05:46:12"/>
        <d v="2025-10-06T05:48:02"/>
        <d v="2025-10-07T17:42:37"/>
        <d v="2025-10-07T23:04:56"/>
        <d v="2025-10-07T23:10:37"/>
        <d v="2025-10-15T05:46:45"/>
        <d v="2025-10-15T09:54:01"/>
        <d v="2025-10-15T11:00:40"/>
        <d v="2025-10-15T20:38:12"/>
        <d v="2025-10-16T15:36:15"/>
        <d v="2025-10-21T08:08:35"/>
        <d v="2025-10-21T13:56:20"/>
        <d v="2025-10-22T07:15:15"/>
        <d v="2025-10-24T10:27:53"/>
        <d v="2025-10-24T11:47:41"/>
        <d v="2025-10-27T09:21:25"/>
        <d v="2025-10-27T11:24:36"/>
        <d v="2025-10-28T05:54:54"/>
        <d v="2025-10-28T10:52:35"/>
        <d v="2025-10-29T15:04:13"/>
        <d v="2025-10-29T15:52:49"/>
        <d v="2025-10-29T15:56:11"/>
        <d v="2025-10-30T02:05:50"/>
        <d v="2025-10-31T15:23:33"/>
        <d v="2025-10-31T16:27:20"/>
        <d v="2025-11-01T00:37:21"/>
        <d v="2025-11-01T01:14:40"/>
        <d v="2025-11-01T16:49:23"/>
        <d v="2025-11-03T13:42:15"/>
        <d v="2025-11-08T01:20:47"/>
        <d v="2025-11-10T00:59:59"/>
        <d v="2025-11-10T04:39:15"/>
        <d v="2025-11-10T08:44:23"/>
        <d v="2025-11-10T20:08:53"/>
        <d v="2025-11-11T04:59:55"/>
        <d v="2025-11-11T05:05:38"/>
        <d v="2025-11-11T09:54:17"/>
        <d v="2025-11-11T17:15:26"/>
        <d v="2025-11-12T09:56:53"/>
        <d v="2025-11-12T13:29:07"/>
        <d v="2025-11-12T15:27:16"/>
        <d v="2025-11-13T03:23:07"/>
        <d v="2025-11-13T05:08:43"/>
        <d v="2025-11-13T05:15:04"/>
        <d v="2025-11-13T05:21:09"/>
        <d v="2025-11-13T13:18:43"/>
        <d v="2025-11-13T16:53:46"/>
        <d v="2025-11-13T16:55:32"/>
        <d v="2025-11-14T14:17:38"/>
        <d v="2025-11-17T15:04:07"/>
        <d v="2025-11-17T15:22:41"/>
        <d v="2025-11-17T16:03:02"/>
        <d v="2025-11-18T09:59:21"/>
        <d v="2025-11-19T09:33:36"/>
        <d v="2025-11-19T09:43:06"/>
        <d v="2025-11-19T17:48:26"/>
        <d v="2025-11-21T00:15:26"/>
        <d v="2025-11-21T00:17:08"/>
        <d v="2025-11-25T10:42:37"/>
        <d v="2025-11-26T01:16:27"/>
        <d v="2025-11-27T07:48:08"/>
        <d v="2025-11-27T10:07:26"/>
        <d v="2025-11-27T10:17:03"/>
        <d v="2025-11-27T11:02:05"/>
        <d v="2025-11-28T02:23:25"/>
        <d v="2025-12-01T09:47:27"/>
        <d v="2025-12-01T14:37:08"/>
        <d v="2025-12-01T16:18:27"/>
        <d v="2025-12-05T10:45:24"/>
        <d v="2025-12-06T00:23:18"/>
        <d v="2025-12-06T00:29:35"/>
        <d v="2025-12-06T00:33:27"/>
        <d v="2025-12-06T00:39:13"/>
        <d v="2025-12-06T00:41:34"/>
        <d v="2025-12-06T00:53:35"/>
        <d v="2025-12-06T00:54:12"/>
        <d v="2025-12-06T00:54:46"/>
        <d v="2025-12-06T00:55:28"/>
        <d v="2025-12-06T00:56:08"/>
        <d v="2025-12-08T21:25:30"/>
        <d v="2025-12-09T05:45:53"/>
        <d v="2025-12-11T09:41:10"/>
        <d v="2025-12-11T23:08:39"/>
        <d v="2025-12-11T23:53:56"/>
        <d v="2025-12-12T05:57:50"/>
        <d v="2025-12-12T07:54:30"/>
        <d v="2025-12-12T08:11:30"/>
        <d v="2025-12-12T15:48:13"/>
        <d v="2025-12-13T18:16:07"/>
        <d v="2025-12-15T13:23:10"/>
        <d v="2025-12-15T14:40:15"/>
        <d v="2025-12-16T10:23:35"/>
        <d v="2025-12-17T15:10:40"/>
        <d v="2025-12-17T15:16:57"/>
        <d v="2025-12-17T15:58:36"/>
        <d v="2026-01-05T18:42:13"/>
        <d v="2026-01-06T18:01:55"/>
        <d v="2026-01-06T18:03:05"/>
        <d v="2026-01-07T09:47:12"/>
        <d v="2026-01-12T12:09:33"/>
        <d v="2026-01-12T12:14:30"/>
        <d v="2026-01-12T12:31:05"/>
        <d v="2026-01-12T12:36:19"/>
        <d v="2026-01-12T12:39:40"/>
        <d v="2026-01-19T08:10:25"/>
        <d v="2026-01-19T08:20:43"/>
        <d v="2026-01-20T04:49:43"/>
        <d v="2026-01-20T04:51:45"/>
        <d v="2026-01-20T04:53:05"/>
        <d v="2026-01-20T05:27:24"/>
        <d v="2026-01-24T16:51:49"/>
        <d v="2026-01-26T14:36:59"/>
        <d v="2026-01-26T15:23:10"/>
        <d v="2026-01-27T11:58:15"/>
        <d v="2026-02-02T21:29:53"/>
        <d v="2026-02-04T22:21:02"/>
        <d v="2026-02-09T10:04:31"/>
        <d v="2026-02-10T01:08:08"/>
        <d v="2026-02-10T08:44:39"/>
        <d v="2026-02-10T08:57:42"/>
        <d v="2026-02-10T09:15:28"/>
        <d v="2026-02-11T09:50:34"/>
        <d v="2026-02-11T13:54:54"/>
        <d v="2026-02-11T13:58:22"/>
        <d v="2026-02-13T03:28:21"/>
        <d v="2026-02-13T05:31:30"/>
        <d v="2026-02-19T08:21:50"/>
        <d v="2026-02-19T13:35:26"/>
        <d v="2026-02-23T10:14:51"/>
        <d v="2026-02-23T10:38:38"/>
        <d v="2026-02-23T10:53:36"/>
        <d v="2026-02-25T15:02:30"/>
        <d v="2026-02-27T08:11:36"/>
        <d v="2026-03-02T09:22:00"/>
        <d v="2026-03-02T10:58:36"/>
        <d v="2026-03-03T13:10:10"/>
        <d v="2026-03-04T01:11:19"/>
        <d v="2026-03-05T13:52:01"/>
        <d v="2026-03-06T02:06:23"/>
        <d v="2026-03-06T03:55:15"/>
        <d v="2026-03-07T01:17:56"/>
        <d v="2026-03-12T11:51:04"/>
        <d v="2026-03-21T19:38:47"/>
        <d v="2026-03-23T12:40:25"/>
        <d v="2026-03-23T12:43:09"/>
        <d v="2026-03-26T13:08:09"/>
        <d v="2026-03-26T16:51:13"/>
        <d v="2026-03-27T15:13:08"/>
        <d v="2026-03-27T15:16:50"/>
        <d v="2026-03-30T11:28:47"/>
        <d v="2026-03-30T13:52:50"/>
        <d v="2026-03-31T09:45:26"/>
        <d v="2026-04-02T18:13:16"/>
        <d v="2026-04-02T18:17:43"/>
        <d v="2026-04-09T08:04:01"/>
        <d v="2026-04-09T22:49:21"/>
        <d v="2026-04-10T09:59:53"/>
        <d v="2026-04-11T10:31:58"/>
        <d v="2026-04-11T10:38:28"/>
        <d v="2026-04-13T04:15:32"/>
        <d v="2026-04-14T16:04:16"/>
        <d v="2026-04-16T21:45:42"/>
        <d v="2026-04-22T09:31:17"/>
        <d v="2026-04-22T13:14:00"/>
        <d v="2026-04-23T15:17:01"/>
        <d v="2026-04-27T10:26:14"/>
        <d v="2026-04-28T04:46:59"/>
        <d v="2026-04-29T07:26:44"/>
        <d v="2026-04-29T13:31:32"/>
        <d v="2026-05-04T09:47:05"/>
        <d v="2026-05-06T12:11:49"/>
        <d v="2026-05-06T12:18:10"/>
        <d v="2026-05-06T13:56:04"/>
        <d v="2026-05-07T16:52:37"/>
        <d v="2026-05-07T21:40:19"/>
        <d v="2026-05-08T11:22:35"/>
        <d v="2026-05-08T17:25:39"/>
        <d v="2026-05-14T14:55:18"/>
        <d v="2026-05-16T10:52:11"/>
        <d v="2026-05-18T07:48:35"/>
        <d v="2026-05-23T10:51:46"/>
        <d v="2026-05-25T12:30:09"/>
        <d v="2026-05-25T12:38:10"/>
        <d v="2026-05-26T14:13:44"/>
        <d v="2026-05-27T01:49:38"/>
        <d v="2026-05-28T13:26:27"/>
        <d v="2026-05-28T14:09:15"/>
        <d v="2026-05-29T15:30:02"/>
        <d v="2026-06-01T15:30:07"/>
        <d v="2026-06-02T04:18:20"/>
        <d v="2026-06-02T18:41:13"/>
        <d v="2026-06-04T00:39:18"/>
        <d v="2026-06-04T05:31:01"/>
        <d v="2026-06-04T13:19:32"/>
        <d v="2026-06-08T21:06:09"/>
        <d v="2026-06-09T01:38:19"/>
        <d v="2026-06-10T03:13:50"/>
        <d v="2026-06-10T09:21:58"/>
        <d v="2026-06-10T09:44:49"/>
        <d v="2026-06-10T13:51:20"/>
        <d v="2026-06-11T08:13:45"/>
        <d v="2026-06-11T09:49:34"/>
        <d v="2026-06-11T11:14:47"/>
        <d v="2026-06-14T23:43:40"/>
        <d v="2026-06-15T14:57:19"/>
        <d v="2026-06-15T15:24:13"/>
        <d v="2026-06-18T15:13:18"/>
        <d v="2026-06-19T02:52:35"/>
        <d v="2026-06-19T19:46:07"/>
        <d v="2026-06-20T13:13:57"/>
        <d v="2026-06-22T13:59:37"/>
        <d v="2026-06-22T14:53:19"/>
        <d v="2026-06-23T10:53:10"/>
        <d v="2026-06-23T14:36:03"/>
        <d v="2026-06-24T07:22:46"/>
        <d v="2026-06-24T10:40:13"/>
        <d v="2026-06-24T12:46:22"/>
        <d v="2026-06-25T08:16:13"/>
        <d v="2026-06-25T11:15:22"/>
        <d v="2026-06-25T11:22:50"/>
        <d v="2026-06-25T13:28:32"/>
        <d v="2026-06-26T08:53:49"/>
        <d v="2026-06-26T11:19:20"/>
        <d v="2026-07-01T20:37:36"/>
        <d v="2026-07-02T18:17:38"/>
        <d v="2026-07-02T20:27:54"/>
        <d v="2026-07-02T20:28:55"/>
        <d v="2026-07-02T21:05:36"/>
        <d v="2026-07-03T13:12:35"/>
        <d v="2026-07-04T09:41:44"/>
        <d v="2026-07-06T17:36:41"/>
        <d v="2026-07-09T09:38:43"/>
        <d v="2026-07-15T21:30:41"/>
        <d v="2026-07-20T19:59:38"/>
        <d v="2026-07-21T19:01:57"/>
        <d v="2026-07-23T17:29:51"/>
        <d v="2026-07-23T17:33:46"/>
        <d v="2026-07-23T20:15:50"/>
        <d v="2026-07-24T11:43:29"/>
        <d v="2026-07-25T17:18:51"/>
        <d v="2026-07-28T11:55:44"/>
        <d v="2026-07-30T14:40:19"/>
        <d v="2026-07-30T14:48:35"/>
        <d v="2026-07-30T15:01:28"/>
        <d v="2026-08-01T20:32:40"/>
        <d v="2026-08-05T07:51:21"/>
        <d v="2026-08-05T07:54:15"/>
        <d v="2026-08-05T12:30:19"/>
        <d v="2026-08-06T11:37:48"/>
        <d v="2026-08-10T13:17:58"/>
        <d v="2026-08-11T00:07:51"/>
        <d v="2026-08-11T00:15:19"/>
        <d v="2026-08-11T10:19:50"/>
        <d v="2026-08-11T10:29:50"/>
        <d v="2026-08-11T11:44:16"/>
        <d v="2026-08-12T17:29:20"/>
        <d v="2026-08-13T17:24:01"/>
        <d v="2026-08-17T21:04:50"/>
        <d v="2026-08-22T12:59:07"/>
        <d v="2026-08-24T20:49:58"/>
        <d v="2026-08-25T13:45:54"/>
        <d v="2026-08-25T17:55:58"/>
        <d v="2026-08-26T09:12:08"/>
        <d v="2026-08-26T15:14:20"/>
        <d v="2026-08-31T16:44:01"/>
        <d v="2026-08-31T18:57:53"/>
        <d v="2026-09-01T07:25:34"/>
        <d v="2026-09-04T05:27:44"/>
        <d v="2026-09-04T15:44:27"/>
        <d v="2026-09-04T15:50:12"/>
        <d v="2026-09-04T15:54:40"/>
        <d v="2026-09-08T13:56:30"/>
        <d v="2026-09-09T14:12:16"/>
        <d v="2026-09-10T08:39:57"/>
        <d v="2026-09-16T19:12:53"/>
        <d v="2026-09-16T20:17:17"/>
        <d v="2026-09-16T20:19:22"/>
        <d v="2026-09-18T09:26:09"/>
        <d v="2026-09-18T09:39:09"/>
        <m/>
      </sharedItems>
    </cacheField>
    <cacheField name="Área de trabalho" numFmtId="49">
      <sharedItems containsBlank="1"/>
    </cacheField>
    <cacheField name="Atualizado" numFmtId="0">
      <sharedItems containsNonDate="0" containsDate="1" containsString="0" containsBlank="1" minDate="2024-08-19T13:30:17" maxDate="2026-09-18T09:50:35"/>
    </cacheField>
    <cacheField name="Atribuído a" numFmtId="49">
      <sharedItems containsBlank="1"/>
    </cacheField>
    <cacheField name="Grupo de atribuição" numFmtId="49">
      <sharedItems containsBlank="1"/>
    </cacheField>
    <cacheField name="Fechado" numFmtId="0">
      <sharedItems containsNonDate="0" containsDate="1" containsString="0" containsBlank="1" minDate="2024-08-19T13:30:17" maxDate="2026-09-09T15:02:36"/>
    </cacheField>
    <cacheField name="Status controle interno " numFmtId="0">
      <sharedItems containsBlank="1"/>
    </cacheField>
    <cacheField name="Grupo" numFmtId="0">
      <sharedItems containsBlank="1"/>
    </cacheField>
  </cacheFields>
  <extLst>
    <ext xmlns:x14="http://schemas.microsoft.com/office/spreadsheetml/2009/9/main" uri="{725AE2AE-9491-48be-B2B4-4EB974FC3084}">
      <x14:pivotCacheDefinition pivotCacheId="1857666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
  <r>
    <s v="FB0076323"/>
    <s v="Escada dando acesso aos Detectores de Metais"/>
    <x v="0"/>
    <s v="Uma Escada facilitando o acesso aos Detectores de Metais do lado da Fabrima 05"/>
    <s v="Isaias Macedo"/>
    <s v="Pequena mudança local"/>
    <x v="0"/>
    <x v="0"/>
    <x v="0"/>
    <d v="2024-09-17T15:40:38"/>
    <m/>
    <s v="APROVADORES DE IDEIAS"/>
    <d v="2024-09-17T15:40:38"/>
    <s v="Cancelado"/>
    <x v="0"/>
    <s v="Cancelada"/>
  </r>
  <r>
    <s v="FB0076530"/>
    <s v="Isolamento do Vão da Escada Mesanino PKD "/>
    <x v="1"/>
    <s v="Devido ao no leaut dos contêiner foi necessário retirar um móvel que havia debaixo do vão da escada ficando um local aberto possibilitando a passagem por baixo da escada em um ponto onde existe a possibilidade de colisão com o rosto ou cabeça._x000a_Devido. a necessidade de isolamento podemos aproveitar essa espaço com um armário um com suporte para um bebedouro, e a guarda de utensílios."/>
    <s v="Patrick Pessoa"/>
    <s v="Pequena mudança local"/>
    <x v="1"/>
    <x v="1"/>
    <x v="1"/>
    <d v="2025-07-01T10:22:21"/>
    <s v="Bianca Silva"/>
    <s v="IDEIAS-VACUO"/>
    <d v="2025-07-01T10:22:21"/>
    <s v="Fechado"/>
    <x v="0"/>
    <m/>
  </r>
  <r>
    <s v="FB0076596"/>
    <s v="Avaliar relatório de inspeção do ciclones de cinza e película se é pra inspecionar ou retira da folhas o formulários…"/>
    <x v="2"/>
    <s v="Hoje não e feito a inspeção de cinza e película do relatório(FRM-07-016) foi feito uma melhoria colocando sensor de presença na rosca atuando alarme no  supervisório quando a caçamba de película está cheia …. Sugiro que seja retirado esta página "/>
    <s v="Edvan Santos"/>
    <s v="Pequena mudança local"/>
    <x v="2"/>
    <x v="2"/>
    <x v="2"/>
    <d v="2026-04-30T16:30:21"/>
    <s v="Tiago Carvalho"/>
    <s v="IDEIAS-PROCESSOS"/>
    <m/>
    <s v="Resolvido"/>
    <x v="0"/>
    <m/>
  </r>
  <r>
    <s v="FB0076597"/>
    <s v="moega de reprocesso e dosagem de café "/>
    <x v="0"/>
    <s v="Moega de reprocesso e dosagem e  um processo de melhorar e facilitar o reprocesso de café dos turnos agilizando toda etapa do café para seu devido silo de pó. Para esta melhoria seria utilizado algumas peças que estão obsoletas da linha de grãos e da extratora antiga."/>
    <s v="Luiz H Silva"/>
    <s v="Pequena mudança local"/>
    <x v="2"/>
    <x v="3"/>
    <x v="3"/>
    <d v="2026-04-28T13:35:01"/>
    <m/>
    <s v="IDEIAS-PROCESSOS"/>
    <d v="2026-04-28T13:35:01"/>
    <s v="Cancelado"/>
    <x v="0"/>
    <m/>
  </r>
  <r>
    <s v="FB0076655"/>
    <s v="mesa de pacotes para analise "/>
    <x v="1"/>
    <s v="Realizar a confecção de um adesivo referente as numerações das câmaras de vácuo e colocar na mesa de recolhimento de pacotes para análise para posicionamento dos pacotes referente a cada câmara ._x000a_O adesivo deverá ser confeccionado com impressão da direita para esquerda para acompanhar a forma que pacote sai da roda de vácuo e com é retirado pelos operadores _x000a_Da seguinte forma de 1 a 4 de 5 a 8 é demais na sequencia  até finalizar  as 28 câmaras_x000a_Os pacotes são retirados de 4 a 4 por vez._x000a__x000a_Pedro Ferreira: Ideia realizada, porém, falta o operador colar os adesivos na mesa. _x000a_"/>
    <s v="Patrick Pessoa"/>
    <s v="Pequena mudança local"/>
    <x v="3"/>
    <x v="4"/>
    <x v="1"/>
    <d v="2025-09-01T11:32:37"/>
    <s v="Bianca Silva"/>
    <s v="IDEIAS-VACUO"/>
    <d v="2025-09-01T11:32:37"/>
    <s v="Fechado"/>
    <x v="0"/>
    <m/>
  </r>
  <r>
    <s v="FB0076876"/>
    <s v="Claviculário almoxarifado "/>
    <x v="1"/>
    <s v="Colocar claviculário com todas as chaves dos armários e portões do almoxarifado numeradas e em ordem, para restringir acesso aos materiais.   "/>
    <s v="Sarah Teixeira"/>
    <s v="Pequena mudança local"/>
    <x v="0"/>
    <x v="5"/>
    <x v="4"/>
    <d v="2024-08-19T13:30:17"/>
    <s v="Sarah Teixeira"/>
    <s v="IDEIAS-CAFÉ CRÚ"/>
    <d v="2024-08-19T13:30:17"/>
    <s v="Fechado"/>
    <x v="1"/>
    <m/>
  </r>
  <r>
    <s v="FB0076877"/>
    <s v="Criação de Forms para registro de saídas de almoxarifado"/>
    <x v="1"/>
    <s v="Criação de Forms para registro de saídas de almoxarifado, facilitando para quem precisa retirar materiais quando não tem almoxarife para fazer os registros. "/>
    <s v="Sarah Teixeira"/>
    <s v="Pequena mudança local"/>
    <x v="0"/>
    <x v="6"/>
    <x v="4"/>
    <d v="2024-08-23T14:59:41"/>
    <s v="Sarah Teixeira"/>
    <s v="IDEIAS-CAFÉ CRÚ"/>
    <d v="2024-08-23T14:59:41"/>
    <s v="Fechado"/>
    <x v="1"/>
    <s v="cancela"/>
  </r>
  <r>
    <s v="FB0076880"/>
    <s v="Suporte para etiquetas de fardo"/>
    <x v="1"/>
    <s v="Colocar um suporte para colocar as etiquetas dos fardos na parede do CQ, trazer as etiquetas para mais próximo ao almoxarifado e organizar melhor"/>
    <s v="Sarah Teixeira"/>
    <s v="Pequena mudança local"/>
    <x v="0"/>
    <x v="7"/>
    <x v="4"/>
    <d v="2024-12-13T15:07:33"/>
    <s v="Sarah Teixeira"/>
    <s v="IDEIAS-CAFÉ CRÚ"/>
    <d v="2024-12-13T15:07:33"/>
    <s v="Fechado"/>
    <x v="1"/>
    <m/>
  </r>
  <r>
    <s v="FB0076937"/>
    <s v="Retornar com os Teclados e Mouse sem fio"/>
    <x v="0"/>
    <s v="Retornar Mouse e Teclados sem fio,para facilitar o uso sem precisar utilizar suporte para Mouse e não ocupar tanto espaço na mesa"/>
    <s v="Isaias Macedo"/>
    <s v="Pequena mudança local"/>
    <x v="0"/>
    <x v="8"/>
    <x v="5"/>
    <d v="2025-04-22T16:02:52"/>
    <m/>
    <s v="APROVADORES DE IDEIAS"/>
    <d v="2025-04-22T16:02:52"/>
    <s v="Cancelado"/>
    <x v="0"/>
    <m/>
  </r>
  <r>
    <s v="FB0076944"/>
    <s v="Mola Aérea Para Fechamento De Portas Automática - Almoxarifado"/>
    <x v="1"/>
    <s v="Colocar uma Mola Aérea Para Fechamento De Portas Automática nas portas do almoxarifado, o fluxo de mecânicos é muito grande e deixam a porta aberta ao sair, se fazendo necessário parar as atividades para fechar a porta. "/>
    <s v="Sarah Teixeira"/>
    <s v="Pequena mudança local"/>
    <x v="1"/>
    <x v="9"/>
    <x v="4"/>
    <d v="2024-08-27T14:37:00"/>
    <s v="Sarah Teixeira"/>
    <s v="IDEIAS-CAFÉ CRÚ"/>
    <d v="2024-08-27T14:37:00"/>
    <s v="Fechado"/>
    <x v="1"/>
    <m/>
  </r>
  <r>
    <s v="FB0077045"/>
    <s v="aplicativo de RO"/>
    <x v="2"/>
    <s v="Colocar uma opção de fotografia no aplicativo de RO para melhor visualização da ocorrência, assim o reporte ficará mais claro pra as pessoas que irão conduzir uma RCA, trazendo uma transparência no que de fato ocorreu e agilidade na tratativa para que seja discutido em OPS."/>
    <s v="Edvan Santos"/>
    <s v="Pequena mudança local"/>
    <x v="3"/>
    <x v="10"/>
    <x v="6"/>
    <d v="2025-05-30T09:25:09"/>
    <m/>
    <s v="IDEIAS-QUALIDADE"/>
    <m/>
    <s v="Resolvido"/>
    <x v="0"/>
    <m/>
  </r>
  <r>
    <s v="FB0077070"/>
    <s v="Caixa box não abre"/>
    <x v="3"/>
    <s v="Realizar um sistema de parada na encaixotadora ._x000a_Caso a caixa box venha colada no interior ela não abre com isso o sensor de parada do magazine não atua e com isso ela passa fechada e com isso fica enroscada nas guias de fechamento da abas laterais com essa falha ocorre o amassamento de pacotes da caixa que vem subsequente ocorrendo perda de pacotes e caixas é risco de quebra do equipamento o esforço ou soltar a corrente principal ._x000a__x000a_ OBS Ideia já foi discutida com Igor  da Programação. Ana, por favor, programar com o Igor/Eliezer, para realização. "/>
    <s v="Patrick Pessoa"/>
    <s v="Pequena mudança local"/>
    <x v="4"/>
    <x v="11"/>
    <x v="1"/>
    <d v="2026-06-29T18:11:14"/>
    <s v="Ana Martins"/>
    <s v="APROVADORES DE IDEIAS"/>
    <m/>
    <s v="Aguardando Execução "/>
    <x v="0"/>
    <m/>
  </r>
  <r>
    <s v="FB0077079"/>
    <s v="Sistema  Alarme Sonoro e Luminoso "/>
    <x v="1"/>
    <s v="Necessidade de colocar um sistema de alarme Sonoro e luminoso no sistema da encaixotadora ._x000a_Que o momento que ocorrer a falha ele alerte os operadores caso eles  estejam desempenhando outra atividade no momento da falha._x000a__x000a_OBS Ideia discutida com Igor Programação "/>
    <s v="Patrick Pessoa"/>
    <s v="Pequena mudança local"/>
    <x v="4"/>
    <x v="12"/>
    <x v="1"/>
    <d v="2025-07-01T10:21:49"/>
    <s v="Igor Sousa"/>
    <s v="IDEIAS-VACUO"/>
    <d v="2025-07-01T10:21:49"/>
    <s v="Fechado"/>
    <x v="0"/>
    <m/>
  </r>
  <r>
    <s v="FB0077133"/>
    <s v="Código de parada alarme de incêndio "/>
    <x v="0"/>
    <s v="Criar um código de parada para quando o brigadista precisar se ausentar da máquina devido ao acionamento do alarme e houver intercorrência e não tiver ninguém para reveza-lo no momento."/>
    <s v="Vinicius De Oliveira"/>
    <s v="Pequena mudança local"/>
    <x v="4"/>
    <x v="13"/>
    <x v="7"/>
    <d v="2024-09-16T16:32:32"/>
    <m/>
    <s v="APROVADORES DE IDEIAS"/>
    <d v="2024-09-16T16:32:32"/>
    <s v="Cancelado"/>
    <x v="0"/>
    <m/>
  </r>
  <r>
    <s v="FB0077202"/>
    <s v="abridor de abas encaixotadora"/>
    <x v="1"/>
    <s v="Foi realizada nova confecção de abridores de aba , com ângulo  de 45 graus para melhorar abertura da caixa , assim voltando com as condições da máquina de base. Protótipo está em funcionamento feito do material de acrílico e estando com bons resultados na máquina._x000a__x000a__x000a_Participantes ._x000a_Wesley,Patrick,Arthur,Mário rizo"/>
    <s v="Wesley J Silva"/>
    <s v="Pequena mudança local"/>
    <x v="4"/>
    <x v="14"/>
    <x v="1"/>
    <d v="2024-10-29T13:07:14"/>
    <m/>
    <s v="IDEIAS-VACUO"/>
    <d v="2024-10-29T13:07:14"/>
    <s v="Fechado"/>
    <x v="0"/>
    <m/>
  </r>
  <r>
    <s v="FB0077203"/>
    <s v="Expulsador de caixa box"/>
    <x v="1"/>
    <s v="Realizar o desenvolvimento de acionamento manual no expulsador da balança de peso._x000a_Para quando ocorre pequena falha no robô o operador possa utilizar o acionamento manual para expulsar caixa sem que haja parada de máquina._x000a__x000a_Ideia: Discutida com Igor  Santos Programação ,_x000a_Realmente é uma ótima ideia, porém todo circuito de NR12 esta interligado com o robô para ser realizado precisa a trazer uma empresa autorizada em NR12 e refazer todo circuito de NR12 novamente para que isso seja concretizado."/>
    <s v="Patrick Pessoa"/>
    <s v="Pequena mudança local"/>
    <x v="4"/>
    <x v="15"/>
    <x v="1"/>
    <d v="2025-07-04T10:08:12"/>
    <s v="Igor Sousa"/>
    <s v="IDEIAS-VACUO"/>
    <d v="2025-07-04T10:08:12"/>
    <s v="Fechado"/>
    <x v="0"/>
    <m/>
  </r>
  <r>
    <s v="FB0077256"/>
    <s v="tambores de capitação de pó filtro de mangas do despredador 1"/>
    <x v="3"/>
    <s v="Os tambores de capitação de pó do filtro de mangas do despredador 1 estão vazando muito pó porque eles não possuem travas e existe outros tambores que possuem travas e estão desativados porque eram do despredador 2 e hoje não funciona mais, aí poderiam ser substituídos "/>
    <s v="Valdeci Simoes"/>
    <s v="Pequena mudança local"/>
    <x v="1"/>
    <x v="16"/>
    <x v="8"/>
    <d v="2024-08-22T10:49:05"/>
    <s v="Caique Ventura"/>
    <s v="IDEIAS-CAFÉ CRÚ"/>
    <m/>
    <s v="Aguardando Execução "/>
    <x v="0"/>
    <m/>
  </r>
  <r>
    <s v="FB0077257"/>
    <s v="suporte de proteção da moega onde joga bags"/>
    <x v="2"/>
    <s v="O novo sistema de entrada de café em bags não possui proteção, podendo amassar a estrutura da moega quando for jogar bag_x000a__x000a_"/>
    <s v="Valdeci Simoes"/>
    <s v="Pequena mudança local"/>
    <x v="2"/>
    <x v="17"/>
    <x v="8"/>
    <d v="2026-07-07T12:02:24"/>
    <s v="Ruth  Alves"/>
    <s v="APROVADORES DE IDEIAS"/>
    <m/>
    <s v="Resolvido"/>
    <x v="0"/>
    <m/>
  </r>
  <r>
    <s v="FB0077258"/>
    <s v="Tomadas 220"/>
    <x v="3"/>
    <s v="Colocar pontos de tomada 220 em cima dos silos de grão e pó. _x000a_Eliézer: é possivel instalar as tomadas porem não temos recursos internos para isso, @leonardo por favor puxar orçamento com Mateus Eletromarzinho"/>
    <s v="Leonardo Junior"/>
    <s v="Pequena mudança local"/>
    <x v="5"/>
    <x v="18"/>
    <x v="9"/>
    <d v="2025-10-30T14:28:29"/>
    <s v="Ana Martins"/>
    <s v="IDEIAS-PROCESSOS"/>
    <m/>
    <s v="Aguardando Aprovação de CAPEX"/>
    <x v="0"/>
    <m/>
  </r>
  <r>
    <s v="FB0077552"/>
    <s v="descer as válvula de água para baixo "/>
    <x v="1"/>
    <s v="A procedimento em desligar o torrador tendo que fecha as válvula do tanque de água ,ao ligar também sendo assim acesso o tanque devido a escada marinheiro precisar fazer pt e wlmra é gera um tempo acha as pessoa responsável para assinar o documento, descendo as válvula para baixo o tempo que gastaria para fazer o documento ganharia em produtividade "/>
    <s v="Julho Silva"/>
    <s v="Pequena mudança local"/>
    <x v="2"/>
    <x v="19"/>
    <x v="2"/>
    <d v="2025-07-24T14:12:54"/>
    <s v="Igor Sousa"/>
    <s v="IDEIAS-PROCESSOS"/>
    <d v="2025-07-24T14:12:54"/>
    <s v="Fechado"/>
    <x v="0"/>
    <m/>
  </r>
  <r>
    <s v="FB0077563"/>
    <s v="Redução de carreta no pátio "/>
    <x v="1"/>
    <s v="Deixar entrar as carretas que estão programadas para descarregar no turno para tirar amostra e não todas do dia as 6h como é hoje. Será necessário priorizar a atividade de tirar amostra logo após contagem de estoque, para não correr risco de atrasos no CQCV. Teremos no máximo 3 carretas no pátio, o que ajuda o almoxarifado ao descarregar cavaco, facilita na gestão de estoque e demais movimentações, além da divisão de atividades entre turnos sobrará tempo para jogar bags e outras atividades no 1 turno"/>
    <s v="Nilton F Costa"/>
    <s v="Pequena mudança local"/>
    <x v="0"/>
    <x v="20"/>
    <x v="8"/>
    <d v="2024-10-30T08:35:13"/>
    <s v="Sarah Teixeira"/>
    <s v="IDEIAS-CAFÉ CRÚ"/>
    <d v="2024-10-30T08:35:13"/>
    <s v="Fechado"/>
    <x v="0"/>
    <m/>
  </r>
  <r>
    <s v="FB0077783"/>
    <s v="Cantoneira para fixar cortina"/>
    <x v="0"/>
    <s v="Seria necessário fixar uma cantoneira para fixação da cortina._x000a_Pois toda vez que uma carreta entra na plataforma é preciso segurar parte da cortina para o motorista enxergar a faixa amarela que o auxilia no alinhamento dos pneus da carreta."/>
    <s v="Jose Junior"/>
    <s v="Pequena mudança local"/>
    <x v="1"/>
    <x v="21"/>
    <x v="10"/>
    <d v="2025-04-24T11:26:45"/>
    <m/>
    <s v="IDEIAS-LOGÍSTICA"/>
    <d v="2025-04-24T11:26:45"/>
    <s v="Cancelado"/>
    <x v="0"/>
    <m/>
  </r>
  <r>
    <s v="FB0077784"/>
    <s v="Sistema de ventilação e exaustão "/>
    <x v="3"/>
    <s v="Nesta área de recebimento das carretas,ao entrar nelas não existe um sistema de circulação de ar,ou exaustor para captar o pó na descarga do café._x000a_A falta de uma ventilação eficiente prejudica a respiração e exaustão do corpo,fazendo o operador a suar excessivamente,causando desidratação._x000a__x000a_SHE: Hiago, o conforto térmico não esta conectado com o projeto ATEX. Eles podem ser desenvolvido juntos mas os objetivos são diferentes._x000a__x000a_É possivel realizar melhorias na aclimatação do setor. Deevemos fazer uma MOC e na sequencia abrir uma TAP._x000a__x000a_Do ponto de vista de SHE a ideia está aprovada."/>
    <s v="Jose Junior"/>
    <s v="Pequena mudança local"/>
    <x v="1"/>
    <x v="22"/>
    <x v="8"/>
    <d v="2026-04-20T18:35:24"/>
    <s v="Tiago Carvalho"/>
    <s v="IDEIAS-CAFÉ CRÚ"/>
    <m/>
    <s v="Aguardando MOC"/>
    <x v="0"/>
    <m/>
  </r>
  <r>
    <s v="FB0078291"/>
    <s v="Aumento de capacidade de estoque de café cru"/>
    <x v="1"/>
    <s v="Atualmente armazenamos 1000kg de café em cada bag, com isso sobra um espaço vazio em cada bag. A proposta é aumentar para 1100kg em cada bag, respeitando sua capacidade máxima de armazenamento._x000a_Solicitar ao Michel EGE para configurar a quantidade de café na retirada de bag._x000a_"/>
    <s v="Nilton F Costa"/>
    <s v="Pequena mudança local"/>
    <x v="0"/>
    <x v="23"/>
    <x v="8"/>
    <d v="2024-12-13T15:04:16"/>
    <s v="Sarah Teixeira"/>
    <s v="IDEIAS-CAFÉ CRÚ"/>
    <d v="2024-12-13T15:04:16"/>
    <s v="Fechado"/>
    <x v="0"/>
    <m/>
  </r>
  <r>
    <s v="FB0078586"/>
    <s v="fechador de abas"/>
    <x v="1"/>
    <s v="confecção de um nomo modelo de fechador de abas para encaixotadora mais simples e eficaz"/>
    <s v="Arthur Silva"/>
    <s v="Pequena mudança local"/>
    <x v="6"/>
    <x v="24"/>
    <x v="1"/>
    <d v="2024-10-29T13:55:17"/>
    <m/>
    <s v="IDEIAS-VACUO"/>
    <d v="2024-10-29T13:55:17"/>
    <s v="Fechado"/>
    <x v="1"/>
    <m/>
  </r>
  <r>
    <s v="FB0078785"/>
    <s v="Programa de apadrinhamento da operação pela manutenção "/>
    <x v="3"/>
    <s v="IDEIA_x000a_Criar um programa onde os associados que estão fazendo ou já fizeram curso técnico de eletrônico e mecânico sejam apadrinhados pelos manutentores na execução de atividades em paradas e preventivas possibilitando transferência de conhecimento e preparação para próximas oportunidades._x000a__x000a_---------------------_x000a__x000a_FEEDBACK_x000a_Edvan, obrigada pela ideia. Vamos ver como conseguimos incorporar isso integrando o pilar de MA e ORG. A Luzia vai verificar. (Lu, analisar por favor e colocar em pauta para algum desses pilares)_x000a__x000a_FEEDBACK 23/09/2025: Creio que seja uma ótima oportunidade de aprendizado mas que precisará de um plano para garantir oportunidades igualitárias sem que impacte as atividades operacionais e manutenções. Levarei para o pilar Org, creio ser uma frente de trabalho possível para 2026._x000a__x000a_FEEDBACK 28/05/2026: Atribuindo e encaminhando à Fabrizia para que analise e veja se é possível levar o tema no pilar org ou se não está alinhado a estratégia do momento."/>
    <s v="Edvan Santos"/>
    <s v="Pequena mudança local"/>
    <x v="0"/>
    <x v="25"/>
    <x v="11"/>
    <d v="2026-07-03T10:48:50"/>
    <s v="Fabrizia Soares"/>
    <s v="APROVADORES DE IDEIAS"/>
    <m/>
    <s v="Aguardando Execução "/>
    <x v="0"/>
    <m/>
  </r>
  <r>
    <s v="FB0081067"/>
    <s v="testador de vácuo PKD"/>
    <x v="2"/>
    <s v="O testador de vácuo está amaçando o pacote durante o teste de pressão ._x000a_Com esse amaçado o pacote ganha uma inclinação vindo a escorregar na encaixotadora e também podendo rasgar a caixa durante o enchimentos devido a forma que fundo do pacote fica._x000a_Realizar uma melhoria no stop do testador afim que a chapa que segura o pacote não encline para não amassar o pacote._x000a_Ideia discutida com Arthur da manutenção "/>
    <s v="Patrick Pessoa"/>
    <s v="Pequena mudança local"/>
    <x v="3"/>
    <x v="26"/>
    <x v="1"/>
    <d v="2026-01-27T13:10:30"/>
    <s v="Henrique Cardoso"/>
    <s v="IDEIAS-VACUO"/>
    <m/>
    <s v="Resolvido"/>
    <x v="0"/>
    <s v="CANCELADO"/>
  </r>
  <r>
    <s v="FB0081758"/>
    <s v="Substituir as lixeiras sem cor por lixeiras com a cor da soleta seletiva"/>
    <x v="0"/>
    <s v="Por 5S, a sugestão é substituirmos as lixeiras por lixeiras novas nas linhas de acordo com as cores da coleta seletiva (igual tem na logísitca). Elas não ficam encardidas. Não precisa trocar agora, mas na próxima substituição considerar esse modelo. "/>
    <s v="Giovanna Biffaratte"/>
    <s v="Pequena mudança local"/>
    <x v="0"/>
    <x v="27"/>
    <x v="0"/>
    <d v="2025-04-23T11:05:06"/>
    <m/>
    <s v="APROVADORES DE IDEIAS"/>
    <d v="2025-04-23T11:05:06"/>
    <s v="Cancelado"/>
    <x v="1"/>
    <m/>
  </r>
  <r>
    <s v="FB0082056"/>
    <s v="Plano fixo de Cafés"/>
    <x v="0"/>
    <s v="Fixar o plano de cafés nas fabrimas, onde as fabrimas 4 e 5 produziriam café de canaleta fechada, que é o tipo de café que tem a melhor performance nas máquinas. E as fabrimas 2 e 3 produziriam cafés de canaletas abertas, que é o tipo de café que produz melhor nas máquinas._x000a__x000a_(Aberto a opiniões)"/>
    <s v="Rafael Santos"/>
    <s v="Pequena mudança local"/>
    <x v="4"/>
    <x v="28"/>
    <x v="0"/>
    <d v="2025-04-23T15:08:06"/>
    <m/>
    <s v="APROVADORES DE IDEIAS"/>
    <d v="2025-04-23T15:08:06"/>
    <s v="Cancelado"/>
    <x v="0"/>
    <m/>
  </r>
  <r>
    <s v="FB0082999"/>
    <s v="Apoio fixo (pé fixo)"/>
    <x v="0"/>
    <s v="Soldar 5 apoio fixo com 15 cm de altura sendo dois em cada lado e um no meio _x000a_Vejo que é recorrente a quebra das rodas sendo com apoio fixo não teremos mais ocorrência de quebra e com isso iremos economizar pois cada roda custa em média 700.00 cada_x000a_E soldando pés teríamos pouco gastos "/>
    <s v="Joelma Inone"/>
    <s v="Pequena mudança local"/>
    <x v="0"/>
    <x v="29"/>
    <x v="1"/>
    <d v="2025-02-16T14:01:21"/>
    <m/>
    <s v="IDEIAS-VACUO"/>
    <d v="2025-02-16T14:01:21"/>
    <s v="Cancelado"/>
    <x v="0"/>
    <m/>
  </r>
  <r>
    <s v="FB0083266"/>
    <s v="colocar o torrador 3 para torra super claro"/>
    <x v="1"/>
    <s v="Mesmo quando os torradores turbo 1 e 2 tiver funcionando,ligaria o torrador 3 para fazer o super claro ganharíamos na produtividade e acompanharia a máquina sempre em funcionamento não ficaria grandes período desligado não sujeitando problemas e perda de café quando  precisar da máquina ela não ficará grandes período desligada , não consumiria muito o gás pq ligaria por pequeno período só para abastecer o super claro qualquer defeito seria identificado  se caso problema no torrador 1 e 2 a máquina 3 estaria pronta para produzir integralmente "/>
    <s v="Julho Silva"/>
    <s v="Pequena mudança local"/>
    <x v="2"/>
    <x v="30"/>
    <x v="12"/>
    <d v="2025-07-23T07:21:54"/>
    <s v="Igor Sousa"/>
    <s v="IDEIAS-PROCESSOS"/>
    <d v="2025-07-23T07:21:54"/>
    <s v="Fechado"/>
    <x v="0"/>
    <s v="CANCELADO"/>
  </r>
  <r>
    <s v="FB0083468"/>
    <s v="'+ aspirador de pó "/>
    <x v="1"/>
    <s v="Comprar + aspirador de pó para fabrimas, para economizar tempo de cil, pois como possui apenas 1 aspirador pra 2 máquinas, sendo que uma pessoa tem q esperar desocupar o aspirador para poder usar_x000a__x000a_"/>
    <s v="Romero Chaves"/>
    <s v="Pequena mudança local"/>
    <x v="0"/>
    <x v="31"/>
    <x v="5"/>
    <d v="2025-09-09T11:28:11"/>
    <m/>
    <s v="APROVADORES DE IDEIAS"/>
    <d v="2025-09-09T11:28:11"/>
    <s v="Fechado"/>
    <x v="0"/>
    <m/>
  </r>
  <r>
    <s v="FB0083992"/>
    <s v="Lixeira integrada na bancada para otimização de espaço"/>
    <x v="0"/>
    <s v="Fazer um furo com o devido acabamento no granito das bancadas da barreira sanitária para colocar as lixeiras de papel toalha embaxio da bancada e liberar espaço visto que as lixeiras estão muito proximas da catraca da barreira sanitária. Também poderia ser feito nos banheiros visto que principalmente no feminino a localização atual da lixeira pode dificultar um pouco o transito na porta do banheiro. Sugestão nas imagens em anexo_x000a__x000a_As lixeiras podem ter tampas giratórias/basculantes (semelhantes como são as lixeiras inox do adm) embutidas na bancada para atender os requistos de qualidade e não ficarem abertas."/>
    <s v="Luzia Rodrigues"/>
    <s v="Pequena mudança local"/>
    <x v="0"/>
    <x v="32"/>
    <x v="13"/>
    <d v="2025-05-20T08:45:48"/>
    <m/>
    <s v="IDEIAS-ADMINISTRATIVO"/>
    <d v="2025-05-20T08:45:48"/>
    <s v="Cancelado"/>
    <x v="1"/>
    <m/>
  </r>
  <r>
    <s v="FB0084063"/>
    <s v="alteração na descrição das receitas"/>
    <x v="1"/>
    <s v="Algumas receitas não contém o número do Blend,por exemplo Damasco tradicional (Blend 40)"/>
    <s v="Lucas Vaz"/>
    <s v="Pequena mudança local"/>
    <x v="3"/>
    <x v="33"/>
    <x v="2"/>
    <d v="2025-07-08T08:49:22"/>
    <s v="Igor Sousa"/>
    <s v="IDEIAS-PROCESSOS"/>
    <d v="2025-07-08T08:49:22"/>
    <s v="Fechado"/>
    <x v="0"/>
    <m/>
  </r>
  <r>
    <s v="FB0084739"/>
    <s v="filtrar paradas do robô "/>
    <x v="1"/>
    <s v="IDEIA _x000a_Filtrar as paradas do robô , mudando a cor das paradas ex: ( amarelo) , está dificultando muito para separar as paradas para fechar o relatório no final do turno ._x000a__x000a_-------------_x000a__x000a_APROVAÇÃO_x000a_Angela, excelente ideia. Demoramos para implantar, pois desde novembro estamos sem o orçamento para melhorias no MOP. Ele foi reativado agora em abril e já encaminhamos sua ideia na lista de solicitações. _x000a_Para conhecimento, esse orçamento nos permite usar 3 diárias mensais de serviço especializado para alguma melhoria no MOP, então às vezes se já usamos as diárias, precisamos esperar o próximo mês para pedir algo novo. "/>
    <s v="Angela Santos"/>
    <s v="Pequena mudança local"/>
    <x v="4"/>
    <x v="34"/>
    <x v="5"/>
    <d v="2025-06-13T00:43:31"/>
    <s v="Giovanna Biffaratte"/>
    <s v="APROVADORES DE IDEIAS"/>
    <d v="2025-06-13T00:43:31"/>
    <s v="Fechado"/>
    <x v="0"/>
    <m/>
  </r>
  <r>
    <s v="FB0084748"/>
    <s v="Adicionar no CIL mensal para limpeza dos utensílios de limpeza das areas"/>
    <x v="1"/>
    <s v="Devido ao acumulo de sujeira, adicionar no CIL mensal a limpeza dos utensílios de limpeza com água ou pano. "/>
    <s v="Bianca Silva"/>
    <s v="Pequena mudança local"/>
    <x v="3"/>
    <x v="35"/>
    <x v="1"/>
    <d v="2025-07-08T08:50:18"/>
    <s v="Bianca Silva"/>
    <s v="IDEIAS-VACUO"/>
    <d v="2025-07-08T08:50:18"/>
    <s v="Fechado"/>
    <x v="1"/>
    <m/>
  </r>
  <r>
    <s v="FB0084875"/>
    <s v="Canetas sempre no chão "/>
    <x v="1"/>
    <s v="As canetas do quadro da moagem sempre caíam, foi feito um suporte(paleativo), para acabar com este problema"/>
    <s v="Camila Silva"/>
    <s v="Pequena mudança local"/>
    <x v="0"/>
    <x v="36"/>
    <x v="3"/>
    <d v="2024-10-30T08:34:33"/>
    <s v="Camila Silva"/>
    <s v="IDEIAS-PROCESSOS"/>
    <d v="2024-10-30T08:34:33"/>
    <s v="Fechado"/>
    <x v="0"/>
    <m/>
  </r>
  <r>
    <s v="FB0085512"/>
    <s v="Abridor de Abas "/>
    <x v="1"/>
    <s v="Realizar alteração no tempo de atuação do abridor de abas fazendo com que ele não entre junto com chapa frontal do enchedor para que não aja colisão na caixa fora do tempo e assim a caixa fica parada não movimento nem para traz ou para frente _x000a__x000a_Ideia já discutido com Igor Eletrônico _x000a_"/>
    <s v="Patrick Pessoa"/>
    <s v="Pequena mudança local"/>
    <x v="4"/>
    <x v="37"/>
    <x v="1"/>
    <d v="2024-10-29T13:02:50"/>
    <m/>
    <s v="IDEIAS-VACUO"/>
    <d v="2024-10-29T13:02:50"/>
    <s v="Fechado"/>
    <x v="0"/>
    <m/>
  </r>
  <r>
    <s v="FB0085628"/>
    <s v="melhoria procedimento quando arrebenta a alça do bag"/>
    <x v="3"/>
    <s v="quando arrebenta uma alça de bag hoje amarramos a alça com corda reaproveitada da caçamba do cavaco conforme foto._x000a_para melhorar a situação de segurança _x000a_ favor comprar uma cinta de 1.5m com capacidade 1500kg para está ser usada no alcamento do bag (considerando as outras 3 alças restante)_x000a__x000a_Pedro Ferreira: _x000a_Ideia apta para execução, mas é necessário que o orçamento seja enviado até CI, para que seja efetuada a compra. _x000a__x000a_"/>
    <m/>
    <s v="Pequena mudança local"/>
    <x v="1"/>
    <x v="38"/>
    <x v="8"/>
    <d v="2026-08-04T14:38:08"/>
    <s v="Flavia Silveira"/>
    <s v="APROVADORES DE IDEIAS"/>
    <m/>
    <s v="Aguardando material "/>
    <x v="0"/>
    <m/>
  </r>
  <r>
    <s v="FB0085629"/>
    <s v="Moinho 1"/>
    <x v="0"/>
    <s v="Eu sou analista do detector de metais e tenho que peneirar no moinho 1, e o moinho 1 a altura e muito baixa e acabando prejudicando minha postura causando dores nas costas deivido de estar muito baixo para mim,sugiro que aumentasse um pouco mais a altura._x000a__x000a_SHE: há um projeto em andamento para instalação de uma peneira vibratória no local. A peneira terá uma altura ergonômica."/>
    <s v="Emilly Silva"/>
    <s v="Pequena mudança local"/>
    <x v="1"/>
    <x v="39"/>
    <x v="3"/>
    <d v="2025-06-17T10:43:51"/>
    <m/>
    <s v="IDEIAS-PROCESSOS"/>
    <d v="2025-06-17T10:43:51"/>
    <s v="Cancelado"/>
    <x v="0"/>
    <m/>
  </r>
  <r>
    <s v="FB0085630"/>
    <s v="moinho 5"/>
    <x v="3"/>
    <s v="Quando eu for peneira no moinho 5 a peneira é muito grande a(largura) causando a caída de café no chão, sugiro que fizeste uma peneira da largura que faz o reprocesso de café para não cair no chão,ou aumentasse mais a largura do moinho."/>
    <s v="Emilly Silva"/>
    <s v="Pequena mudança local"/>
    <x v="4"/>
    <x v="40"/>
    <x v="14"/>
    <d v="2025-04-03T10:09:01"/>
    <s v="Moises Costa"/>
    <s v="IDEIAS-PROCESSOS"/>
    <m/>
    <s v="Aguardando Aprovação de CAPEX"/>
    <x v="0"/>
    <m/>
  </r>
  <r>
    <s v="FB0085638"/>
    <s v="Sujeira de café na Roupa devido ao café ser peneira do"/>
    <x v="0"/>
    <s v="Eu Emilly Silva sou analista do detector de metais, e precisar peneira o café e onde que ocorre sujar a roupa de café, pois o café espalha muito ao peneira-lo , sugiro para não sujar muito a roupa, ja que é só eu que peneira o café de alguns turno acaba ficando muito suja a minha roupa, sugiro que eu tivesse algum jaleco para mim usar para está fazendo a devida atividade."/>
    <s v="Emilly Silva"/>
    <s v="Pequena mudança local"/>
    <x v="3"/>
    <x v="41"/>
    <x v="15"/>
    <d v="2025-06-12T23:26:16"/>
    <m/>
    <s v="IDEIAS-PROCESSOS"/>
    <d v="2025-06-12T23:26:16"/>
    <s v="Cancelado"/>
    <x v="0"/>
    <m/>
  </r>
  <r>
    <s v="FB0085991"/>
    <s v="Aumento do ranger "/>
    <x v="1"/>
    <s v="Aumentar o ranger do parâmetro tempo atraso do freio, vertical da fabrima 4 está muito curta e variando bastante quando rodado no parâmetro limite do centerlining (90) a ideia é aumentar o ranger para até 110 pois assim a vertical fica mais fixa sem variação e maior como se pode ver na imagem."/>
    <s v="Diogo Silva"/>
    <s v="Pequena mudança local"/>
    <x v="4"/>
    <x v="42"/>
    <x v="5"/>
    <d v="2025-07-04T10:18:00"/>
    <m/>
    <s v="APROVADORES DE IDEIAS"/>
    <d v="2025-07-04T10:18:00"/>
    <s v="Fechado"/>
    <x v="0"/>
    <m/>
  </r>
  <r>
    <s v="FB0086147"/>
    <s v="Aumento da capacidade de armazenamento "/>
    <x v="1"/>
    <s v="Foram cerrados paletes PBR, de forma que coubessem em baixo do rack, para ganho de espaço. Com isso ganhamos espaço e conseguimos alocar todas as etiquetas de fardo em um local mais próximo a sala do almoxarifado, facilitando seu manuseio "/>
    <s v="Camila Silva"/>
    <s v="Pequena mudança local"/>
    <x v="0"/>
    <x v="43"/>
    <x v="4"/>
    <d v="2024-10-29T13:15:50"/>
    <m/>
    <s v="IDEIAS-CAFÉ CRÚ"/>
    <d v="2024-10-29T13:15:50"/>
    <s v="Fechado"/>
    <x v="0"/>
    <m/>
  </r>
  <r>
    <s v="FB0086152"/>
    <s v="EFICIÊNCIA NO PROCESSO"/>
    <x v="1"/>
    <s v="Foi solicitado orçamento de 8 bandeijas para armário, afim de otimizar a organização. Com estas bandeijas ganhamos em:_x000a_5S _x000a_ORGANIZAÇÃO _x000a_TEMPO EM COMPRAS_x000a_TEMPO EM CONTAGEM_x000a_GANHO DE ESPAÇO ( pois conseguiremos eliminar esta prateleira da foto, deixando os uniformes apenas em armários trancados)_x000a_ACURACIDADE DE ESTOQUE (facilita a contagem)."/>
    <s v="Camila Silva"/>
    <s v="Pequena mudança local"/>
    <x v="0"/>
    <x v="44"/>
    <x v="16"/>
    <d v="2025-07-08T10:43:45"/>
    <s v="Aline Fernandes"/>
    <s v="IDEIAS-ADMINISTRATIVO"/>
    <d v="2025-07-08T10:43:45"/>
    <s v="Fechado"/>
    <x v="0"/>
    <m/>
  </r>
  <r>
    <s v="FB0086164"/>
    <s v="Equipamento desnecessário "/>
    <x v="0"/>
    <s v="Possível retirada do elevador vermelho antigo,para facilitar retirada de café em carrinhos do torrador 1 e para passagem no corredor com caçamba de descarte!_x000a__x000a_Obs:Equipamento encontra-se inutilizado "/>
    <s v="Lucas Vaz"/>
    <s v="Pequena mudança local"/>
    <x v="2"/>
    <x v="45"/>
    <x v="17"/>
    <d v="2025-06-09T14:37:28"/>
    <m/>
    <s v="IDEIAS-PROCESSOS"/>
    <d v="2025-06-09T14:37:28"/>
    <s v="Cancelado"/>
    <x v="0"/>
    <m/>
  </r>
  <r>
    <s v="FB0086390"/>
    <s v="CIL Café cru - inlcluir limpeza do elevador "/>
    <x v="3"/>
    <s v="no dia 23/10/24 tivemos uma parada no elevador da lançanca de CV devido a acumulo de sujeira (sacaria) e caneca. Com isso o time de manutenção realizou a limpeza e desobstrução do sistema. _x000a__x000a_Este é um item de manutenção preventiva e foi feita de acordo com o tempo programado (está em dia)._x000a_Tendo isto em vista, solicito a avaliação e inclusão da limpeza deste ponto no CIL._x000a_ Levando em consideração que o CIL deve previnir paradas não planejadas nas máquinas que são resolvidas com limpeza."/>
    <m/>
    <s v="Pequena mudança local"/>
    <x v="4"/>
    <x v="46"/>
    <x v="8"/>
    <d v="2026-09-17T10:24:20"/>
    <s v="Flavia Silveira"/>
    <s v="APROVADORES DE IDEIAS"/>
    <m/>
    <s v="Aguardando Execução "/>
    <x v="0"/>
    <m/>
  </r>
  <r>
    <s v="FB0086521"/>
    <s v="portao da entrada de caminhões "/>
    <x v="0"/>
    <s v="Fazer a troca por um portão automático porque acaba exigindo muito esforço físico dos terceiros da portaria, como travamento do portão em dias de chuva emperra entre outros._x000a_"/>
    <s v="Sara Lobato"/>
    <s v="Pequena mudança local"/>
    <x v="1"/>
    <x v="47"/>
    <x v="18"/>
    <d v="2025-06-09T14:42:15"/>
    <m/>
    <s v="IDEIAS-ADMINISTRATIVO"/>
    <d v="2025-06-09T14:42:15"/>
    <s v="Cancelado"/>
    <x v="0"/>
    <m/>
  </r>
  <r>
    <s v="FB0086839"/>
    <s v="Ligação independente para codificadora de caixas"/>
    <x v="3"/>
    <s v="Colocar uma ligação independente para codificadora de caixas da ligação da encaixotadora. Atualmente se desligar a geral da encaixotadora já desliga automaticamente a codificadora de caixas, porém ela precisa de um procedimento de desligamento mais demorado conforme treinamento que foi ministrado pelo técnico no ano passado após as grandes ocorrências que tivemos na codificadora._x000a__x000a_Manutenção: Precisamos fazer orçamento com Eletromarzinho para a instalação de infra para passagem de cabos."/>
    <s v="Michelle Faria"/>
    <s v="Pequena mudança local"/>
    <x v="2"/>
    <x v="48"/>
    <x v="1"/>
    <d v="2025-07-21T10:43:53"/>
    <s v="Igor Sousa"/>
    <s v="IDEIAS-VACUO"/>
    <m/>
    <s v="Cancelado"/>
    <x v="1"/>
    <s v="CANCELADO"/>
  </r>
  <r>
    <s v="FB0087054"/>
    <s v="Raumak 2 Eliminar o motor desbobinador "/>
    <x v="2"/>
    <s v="IDEIA_x000a__x000a_Eliminar o motor desbobinador da Raumak 2, para evitar a queda do motor e evitar paradas da Raumak devido a causa que é feita o motor desbobinador da Raumak 2, e sugiro que seja feita a eliminação do motor desbobinador e colocasse a Raumak 2 e a bailarina também, colocasse a Raumak 2 que nem as Raumak 3,4 e 5._x000a_Pois mudando a Raumak 2 que nem ás Raumak 3,4 e 5, Ficaria com mais fácil acesso e evitaria a queda do motor e teria mais fácil acesso com a bobina na hora da troca pois o modo que é feito a Bailarina é o motor fica difícil com difícil acesso e a bobina e o motor não cairia,e não causaria nenhum acidente de lesão leve._x000a_Colocando a Raumak 2 que nem a Raumak 3,4 e 5 e que nem as bailarinas ficariam com mais fácil acesso e ficariam melhor._x000a__x000a_---------_x000a_APROVAÇÃO _x000a_Visto durante o plantão de ideias com a Emilly que a ideia está com o Arthur para viabilidade técnica. Prover atualização. _x000a_Solicitado a Emilly também a adição de fotos. _x000a_"/>
    <s v="Emilly Silva"/>
    <s v="Pequena mudança local"/>
    <x v="1"/>
    <x v="49"/>
    <x v="19"/>
    <d v="2025-11-28T11:12:18"/>
    <m/>
    <s v="APROVADORES DE IDEIAS"/>
    <m/>
    <s v="Resolvido"/>
    <x v="0"/>
    <m/>
  </r>
  <r>
    <s v="FB0087078"/>
    <s v="Projeto faixas para estacionamento "/>
    <x v="1"/>
    <s v="Projeto consiste na pintura de faixas para organização das carretas inbound e outbound no espaço lateral no pátio externo da logística "/>
    <s v="Diego T Oliveira"/>
    <s v="Pequena mudança local"/>
    <x v="0"/>
    <x v="50"/>
    <x v="10"/>
    <d v="2025-06-27T10:51:45"/>
    <s v="Fabio A Oliveira"/>
    <s v="IDEIAS-LOGÍSTICA"/>
    <d v="2025-06-27T10:51:45"/>
    <s v="Fechado"/>
    <x v="0"/>
    <m/>
  </r>
  <r>
    <s v="FB0087113"/>
    <s v="tomada para conectar o aspirador entre a Raumak e robô  linha 2-3"/>
    <x v="2"/>
    <s v="Entre a Raumak e robô da linha 2-3 não tem tomada que adapta o aspirador, pois a entrega da tomada dele é  grossa"/>
    <s v="Angela Santos"/>
    <s v="Pequena mudança local"/>
    <x v="2"/>
    <x v="51"/>
    <x v="19"/>
    <d v="2026-07-23T11:59:01"/>
    <s v="Anderson Santana"/>
    <s v="APROVADORES DE IDEIAS"/>
    <m/>
    <s v="Resolvido"/>
    <x v="0"/>
    <m/>
  </r>
  <r>
    <s v="FB0087245"/>
    <s v="colocar as limpeza t3 cil"/>
    <x v="2"/>
    <s v="Não tem no cil"/>
    <s v="Julho Silva"/>
    <s v="Pequena mudança local"/>
    <x v="3"/>
    <x v="52"/>
    <x v="2"/>
    <d v="2026-09-17T10:23:14"/>
    <s v="Flavia Silveira"/>
    <s v="APROVADORES DE IDEIAS"/>
    <m/>
    <s v="Cancelado"/>
    <x v="0"/>
    <s v="CANCELADO"/>
  </r>
  <r>
    <s v="FB0087246"/>
    <s v="rosca de película 1 e 2  por no cil"/>
    <x v="1"/>
    <s v="Precisar fazer raspagem as crosta que forma"/>
    <s v="Julho Silva"/>
    <s v="Pequena mudança local"/>
    <x v="6"/>
    <x v="53"/>
    <x v="2"/>
    <d v="2025-11-05T08:54:27"/>
    <s v="Bianca Silva"/>
    <s v="IDEIAS-PROCESSOS"/>
    <d v="2025-11-05T08:54:27"/>
    <s v="Fechado"/>
    <x v="0"/>
    <m/>
  </r>
  <r>
    <s v="FB0087260"/>
    <s v="aspirador pneumático pra facilitar a limpeza parte superior dos silos "/>
    <x v="1"/>
    <s v="Aspirador de pó, facilitando os trabalhos em altura onde temos que fazer limpeza de fim de mês ou qualquer outra atividade em altura _x000a_E a não ter que ficar jogando toda aquela quantidade de pó e sujeira no chão tendo que fazer dois trabalhos num só _x000a_Esse aspirador poderíamos está vendo uma maneira fácil de tá usando ele com o cinto de segurança _x000a_E seria interessante também aderirmos a compra de um pra cada área assim como a cor da area _x000a_Tendo o produto pronto não teriamos mais a limpeza com ar comprimido facilitando e muito nosso trabalho e a limpeza "/>
    <s v="Alex Teixeira"/>
    <s v="Pequena mudança local"/>
    <x v="0"/>
    <x v="54"/>
    <x v="3"/>
    <d v="2026-01-07T13:45:34"/>
    <s v="Ricardo Nishida"/>
    <s v="IDEIAS-PROCESSOS"/>
    <d v="2026-01-07T13:45:34"/>
    <s v="Fechado"/>
    <x v="0"/>
    <m/>
  </r>
  <r>
    <s v="FB0087261"/>
    <s v="Melhoria de ergonomia para limpeza das Câmaras de torra "/>
    <x v="1"/>
    <s v="Realizar compra de um desincrustador pneumático para facilitar a limpeza das câmaras de torra, gerando mais facilidade e retirando o uso de espátula e marreta. Isso irá reduzir o tempo de limpeza, reduzindo também a exposição do associado ao risco de NR33, além dos benefícios a ergonomia da atividade."/>
    <s v="Edvaldo Silva"/>
    <s v="Pequena mudança local"/>
    <x v="1"/>
    <x v="55"/>
    <x v="2"/>
    <d v="2025-06-11T14:45:44"/>
    <s v="Ricardo Nishida"/>
    <s v="IDEIAS-PROCESSOS"/>
    <d v="2025-06-11T14:45:44"/>
    <s v="Fechado"/>
    <x v="0"/>
    <m/>
  </r>
  <r>
    <s v="FB0087369"/>
    <s v="Melhoria Torrador 3"/>
    <x v="2"/>
    <s v="Criação de uma porta na lateral no torrador 3.. para facilitar a condição de limpeza de películas na parte inferior do mesmo, local onde é espaço confinado, de difícil acesso, péssima ergonomia e acumula muita sujeira. _x000a__x000a_Esse local faz parte da rotina de limpeza diária, sendo necessário limpar todo início de produção ( geralmente aos domingos )._x000a__x000a_Com essa sugestão seria possível realizar a limpeza de uma forma mais segura, ágil , e sem a necessidade de um operador adentrar ao espaço confinado eliminando a abertura de PT, separar um associado para vigia, e socorrista, sendo possível priorizar outras atividades."/>
    <s v="Vinicius De Oliveira"/>
    <s v="Pequena mudança local"/>
    <x v="1"/>
    <x v="56"/>
    <x v="2"/>
    <d v="2026-03-25T11:29:50"/>
    <s v="Izabela Pugliesi"/>
    <s v="IDEIAS-PROCESSOS"/>
    <m/>
    <s v="Resolvido"/>
    <x v="0"/>
    <s v="CANCELADO"/>
  </r>
  <r>
    <s v="FB0087415"/>
    <s v="melhoria na fixação das pinças superior e inferior da formação do fundo PKD"/>
    <x v="3"/>
    <s v="Melhoria na fixação das pinças superior e inferior da formação do fundo PKD_x000a_Deve ser realizado a confecção de duas pinças novas com o furo de fixação com a medida exata do parafuso para que não haja folga nem ajuste neste ponto "/>
    <s v="Arthur Silva"/>
    <s v="Pequena mudança local"/>
    <x v="3"/>
    <x v="57"/>
    <x v="1"/>
    <d v="2024-11-06T13:42:55"/>
    <s v="Andre Mendes Costa"/>
    <s v="IDEIAS-VACUO"/>
    <m/>
    <s v="Aguardando Execução "/>
    <x v="1"/>
    <m/>
  </r>
  <r>
    <s v="FB0087474"/>
    <s v="transporte café torrado do torrador3"/>
    <x v="1"/>
    <s v="Implementar tela do transporte de café torrado na tela principal do torrador 3_x000a_Semelhante à dos turbo 1 e 2"/>
    <s v="Lucas Vaz"/>
    <s v="Pequena mudança local"/>
    <x v="0"/>
    <x v="58"/>
    <x v="2"/>
    <d v="2025-07-08T08:49:48"/>
    <s v="Igor Sousa"/>
    <s v="IDEIAS-PROCESSOS"/>
    <d v="2025-07-08T08:49:48"/>
    <s v="Fechado"/>
    <x v="0"/>
    <m/>
  </r>
  <r>
    <s v="FB0087661"/>
    <s v="ALTERAÇÃO DO MODELO DE CILINDRO DO BRAÇO DOBRADOR DE ABAS DA ENCAIXOTADORA"/>
    <x v="2"/>
    <s v="DESENVOLVER UM MODELO DE CILINDRO PNEUMÁTICO QUE TENHA MAIS RESISTENCIA A IMPACTOS POR TORÇÃO E POSSUA SISTEMA DE AMORTECIMENTO DE FIM DE CURSO - AÇÃO DA BDA RCA0195536 , ONDE HOUVE A QUEBRA DO EIXO DESSE CILINDRO"/>
    <s v="Henrique Cardoso"/>
    <s v="Pequena mudança local"/>
    <x v="4"/>
    <x v="59"/>
    <x v="1"/>
    <d v="2026-08-31T10:16:47"/>
    <s v="Henrique Cardoso"/>
    <s v="APROVADORES DE IDEIAS"/>
    <m/>
    <s v="Resolvido"/>
    <x v="1"/>
    <s v="CANCELADO"/>
  </r>
  <r>
    <s v="FB0087799"/>
    <s v="Melhoria na visualização dos cames da roda de mandril (formação do fundo) "/>
    <x v="1"/>
    <s v="Substituir a tampa de proteção dos cames para uma tampa em acrílico transparente para facilitar a visualização do alinhamento dos cames "/>
    <s v="Relton Moraes"/>
    <s v="Pequena mudança local"/>
    <x v="3"/>
    <x v="60"/>
    <x v="20"/>
    <d v="2025-07-04T10:14:03"/>
    <s v="Andre Mendes Costa"/>
    <s v="IDEIAS-MELHORIA CONTÍNUA"/>
    <d v="2025-07-04T10:14:03"/>
    <s v="Fechado"/>
    <x v="1"/>
    <m/>
  </r>
  <r>
    <s v="FB0087827"/>
    <s v=" INSTALAR JANELA DE INSPEÇÃO PARA ACESSO AOS REGISTROS DE CALOR DE CADA UMA DAS CÂMARAS DOS TORRADORES"/>
    <x v="0"/>
    <s v="AVALIAR POSSIBILIDADE DE INSTALAR UMA JANELA DE INSPEÇÃO PARA ACESSO AOS REGISTROS DE CALOR DAS CAMARAS DE TORRA (DUMPERS DE AR QUENTE) NA PARTE EXTERNA DA FORNALHA, (PRINCIPALMENTE PARA O DUMPER DA CAMARA 2 QUE FICA EM UM DUTO EM &quot;L&quot;). ISSO ELIMINARIA A NECESSIDADE DE ESPAÇO CONFINADO PARA REALIZAR A MANUTENÇÃO PREVENTIVA, PROPORCIONANDO REDUÇÃO DE TEMPO E ELIMINAÇÃO DE ATIVIDADE DE RISCO_x000a__x000a_OBS: AÇÃO SAIU DO FMEA00002 DO REGISTRO DE CALOR DO TORRADOR 1"/>
    <s v="Henrique Cardoso"/>
    <s v="Pequena mudança local"/>
    <x v="1"/>
    <x v="61"/>
    <x v="11"/>
    <d v="2025-05-20T11:20:10"/>
    <m/>
    <s v="IDEIAS-PROCESSOS"/>
    <d v="2025-05-20T11:20:10"/>
    <s v="Cancelado"/>
    <x v="1"/>
    <s v="CANCELADO"/>
  </r>
  <r>
    <s v="FB0087861"/>
    <s v="Cobertura para empilhadeira "/>
    <x v="3"/>
    <s v="A área demarcada em vermelho destaca áreas críticas do painel onde costuma infiltrar água toda vez que necessita jogar película na caçamba de resíduos do lado de fora._x000a_Quando molha o painel apresentam informações no mesmo de ordem elétrica,impedindo o funcionamento do equipamento. Creio que este equipamento não foi feito para se andar na chuva,pois uma cobertura sobre o equipamento já resolveria esta situação."/>
    <s v="Jose Junior"/>
    <s v="Pequena mudança local"/>
    <x v="0"/>
    <x v="62"/>
    <x v="8"/>
    <d v="2026-08-04T14:42:00"/>
    <s v="Flavia Silveira"/>
    <s v="APROVADORES DE IDEIAS"/>
    <m/>
    <s v="Aguardando Validação"/>
    <x v="0"/>
    <m/>
  </r>
  <r>
    <s v="FB0087866"/>
    <s v="RODÍZIO SOB OS TAMBORES DOS CICLONES "/>
    <x v="1"/>
    <s v="Estes ciclones quando retirados do local para a limpeza são pesados,e para facilitar sua locomoção até o descarte seria ideal rodízios neles._x000a_Pois removê-los todos os dias é incômodo pois se faz movimentos semi-flexionados,causando dor na região lombar da coluna."/>
    <s v="Jose Junior"/>
    <s v="Pequena mudança local"/>
    <x v="1"/>
    <x v="63"/>
    <x v="8"/>
    <d v="2025-07-08T08:45:15"/>
    <s v="Caique Ventura"/>
    <s v="IDEIAS-CAFÉ CRÚ"/>
    <d v="2025-07-08T08:45:15"/>
    <s v="Fechado"/>
    <x v="0"/>
    <m/>
  </r>
  <r>
    <s v="FB0088026"/>
    <s v="MOP em constante EVOLUÇÃO "/>
    <x v="1"/>
    <s v="IDEIA_x000a_Futuramente ter a opção de fazer nossos apontamentos com fotos .. podendo assim de uma maneira mais clara e objetiva para o entendimento de todos . Muitas vezes nós não sabemos com palavra explicar a REAL causa da parada. Facilitando assim o entendimento de todos _x000a__x000a_--------------------------------_x000a__x000a_FEEDBACKS _x000a_Giovanna - 18/12: Lais, o MOP não vamos conseguir trazer essa funcionalidade pos restrição de desenvolvimento e porque temos a questão da foto no DMOS. _x000a_Porém sua solicitação está muito em linha com algo que estamos pensando: estamos trabalhando para a ordem branca virar uma etiqueta do DMOS. Com isso, quando houver problema na máquina com atendimento técnico ou próprio operacional, o operador abrirá a etiqueta no DMOS (onde pode colocar foto) e colocará o número da etiqueta no apontamento do MOP, assim podemos ver a foto do problema, conforme sua solicitação!_x000a_Além disso, com base na sua ideia, vou programar com o time de CI, para pegarmos os códigos da árvore de perdas e de fato colocarmos fotos dos pontos para que seja um norte. (Relton, tocar isso, por favor)_x000a__x000a__x000a_Com esses dois pontos que não são exatamente a sua ideia mas entregam o mesmo valor eu vou aprovar a ideia, mas considerando as execuções acima, tudo bem? Quer adicionar algo mais? _x000a__x000a_--------------------------------_x000a__x000a__x000a__x000a_"/>
    <s v="Lais Silveira"/>
    <s v="Pequena mudança local"/>
    <x v="4"/>
    <x v="64"/>
    <x v="20"/>
    <d v="2025-07-08T08:48:40"/>
    <s v="Relton Moraes"/>
    <s v="IDEIAS-MELHORIA CONTÍNUA"/>
    <d v="2025-07-08T08:48:40"/>
    <s v="Fechado"/>
    <x v="0"/>
    <m/>
  </r>
  <r>
    <s v="FB0088085"/>
    <s v="Suporte para redução  de carga das calhas"/>
    <x v="0"/>
    <s v="Suporte para redução  de carga das calhas para não parar a rosca e  dar alarme"/>
    <s v="Leonardo Junior"/>
    <s v="Pequena mudança local"/>
    <x v="0"/>
    <x v="65"/>
    <x v="20"/>
    <d v="2024-11-08T09:56:56"/>
    <m/>
    <s v="IDEIAS-MELHORIA CONTÍNUA"/>
    <d v="2024-11-08T09:56:56"/>
    <s v="Cancelado"/>
    <x v="0"/>
    <m/>
  </r>
  <r>
    <s v="FB0088140"/>
    <s v="suporte para redução de vazão das calhas"/>
    <x v="1"/>
    <s v="suporte para redução de vazão das calhas, de recebimento café cru, para não parar a rosca e ocasionar alarme"/>
    <s v="Nilton F Costa"/>
    <s v="Pequena mudança local"/>
    <x v="4"/>
    <x v="66"/>
    <x v="8"/>
    <d v="2024-11-20T15:40:32"/>
    <m/>
    <s v="IDEIAS-CAFÉ CRÚ"/>
    <d v="2024-11-20T15:40:32"/>
    <s v="Fechado"/>
    <x v="0"/>
    <m/>
  </r>
  <r>
    <s v="FB0088323"/>
    <s v="Melhoria de Ponto de Aromatização da Película "/>
    <x v="3"/>
    <s v="Hoje atualmente os coletores de cinza são transportados para rosca de plana da película. Na rosca plana de película existe 2 pontos de aromatização, o segundo ponto conforme a foto ilustrada é bem ao lado onde a rosca inclinada de cinza recebe toda cinza coletada trazendo para a plana de película. Atualmente temos vários registros de obstrução no micro final da rosca inclinada de cinza que cai junto com a plana de película, essa obstrução ela ocorre devido que o ponto de aromatização de película é ao lado onde cai toda cinza, como a rosca de cinza trabalha em temperatura alta devido a cinza e como a aromatização é bem ao lado conforme a foto ocorre vapor e suando no berço da rosca e como a cinza vai empreguinando vai ocorrendo obstrução da cinza e encrostando até acionando do Micro do final da rosca de cinza._x000a_A ideia é mudar o ponto de aromatização da rosca plana de película para segunda foto ilustrada para que não ocorra essas diversas obstrução de cinza e assim reduzimos nossos impactos de MTBB e MTBF._x000a__x000a_Pedro Ferreira: Ideia pode ser realizada através da Manutenção, entretanto, caso não for possível, Rubens irá ficar responsável em solicitar orçamento."/>
    <s v="Edvaldo Silva"/>
    <s v="Pequena mudança local"/>
    <x v="4"/>
    <x v="67"/>
    <x v="2"/>
    <d v="2025-09-25T15:24:16"/>
    <s v="Rubens Teixeira"/>
    <s v="IDEIAS-PROCESSOS"/>
    <m/>
    <s v="Aguardando Orçamento"/>
    <x v="0"/>
    <m/>
  </r>
  <r>
    <s v="FB0088336"/>
    <s v="local de difícil acesso para limpeza"/>
    <x v="0"/>
    <s v="Acrílicos e tubo do arremessador de difícil acesso para limpeza na parte superior da Raumak 2_x000a__x000a_A ideia seria adicionar uma porta com NR para ter um acesso melhor ao arremessador e aos acrílicos do fundo._x000a__x000a_SHE: ideia aprovada. Proximos passos: 1-Orçar a mudança com o fornecedor (ENG); 2-Realizar a apreciação de risco NR-12 (+/- R$ 8.000); 3-Laudo de Proteção de Máquinas (NR-12);_x000a__x000a_Pedro Ferreira: Ideia será CANCELADA devido alto custo. "/>
    <m/>
    <s v="Pequena mudança local"/>
    <x v="0"/>
    <x v="68"/>
    <x v="19"/>
    <d v="2025-09-03T15:05:20"/>
    <m/>
    <s v="APROVADORES DE IDEIAS"/>
    <d v="2025-09-03T15:05:20"/>
    <s v="Cancelado"/>
    <x v="0"/>
    <m/>
  </r>
  <r>
    <s v="FB0088344"/>
    <s v="Espaço estreito "/>
    <x v="2"/>
    <s v="Coletor de variação de peso muito grande, dificultando bastante o ir e vir na linha. A posição dele é bem de frente a pilastra o que atrapalha ainda mais. Solicito diminuir o tamanho dele pelo tamanho padrão das outras fabrimas , pois a linha 03 já é bem pequena o que facilita a colisão em diversas vezes  com nosso corpo gerando algumas lesões "/>
    <s v="Lais Silveira"/>
    <s v="Pequena mudança local"/>
    <x v="1"/>
    <x v="69"/>
    <x v="21"/>
    <d v="2025-10-30T14:27:16"/>
    <s v="Michelle Faria"/>
    <s v="APROVADORES DE IDEIAS"/>
    <m/>
    <s v="Resolvido"/>
    <x v="0"/>
    <m/>
  </r>
  <r>
    <s v="FB0088501"/>
    <s v="Melhoria no óculos de segurança "/>
    <x v="2"/>
    <s v="Devido uso obrigatório de óculos de segurança para quaisquer atividades e como  EPI seria interessante adaptar todos os óculos com uma borracha de silicone ou outra do tipo para que não incomodar ao colocar sobre o nariz usaremos as borracha no desenho do encaixa das guia conforme a foto ilustrada._x000a_Essa nova adaptação seria para amenizar o incômodo de aperto das guia do óculos, já que os atuais não existi._x000a__x000a_SHE: Reprovado."/>
    <s v="Edvaldo Silva"/>
    <s v="Pequena mudança local"/>
    <x v="1"/>
    <x v="70"/>
    <x v="22"/>
    <d v="2026-03-18T09:35:32"/>
    <m/>
    <s v="IDEIAS-SHE"/>
    <m/>
    <s v="Resolvido"/>
    <x v="0"/>
    <m/>
  </r>
  <r>
    <s v="FB0088522"/>
    <s v="Placa Visual "/>
    <x v="1"/>
    <s v="Colocar uma placa visual na linha de produção, procedimento de lavagem dos filtros para estabelecer a padronização da limpeza dos filtros."/>
    <s v="Vitor Xavier"/>
    <s v="Pequena mudança local"/>
    <x v="4"/>
    <x v="71"/>
    <x v="1"/>
    <d v="2025-09-22T15:01:44"/>
    <s v="Pedro Ferreira"/>
    <s v="IDEIAS-VACUO"/>
    <d v="2025-09-22T15:01:44"/>
    <s v="Fechado"/>
    <x v="0"/>
    <m/>
  </r>
  <r>
    <s v="FB0088523"/>
    <s v="café no início do turno"/>
    <x v="1"/>
    <s v="Seria muito bom chegar no turno e ter um café fresco , tem vezes que o café so fica pronto umas 23:00, o segundo turno poderia deixar uma garrafa pronta "/>
    <s v="Angela Santos"/>
    <s v="Pequena mudança local"/>
    <x v="0"/>
    <x v="72"/>
    <x v="16"/>
    <d v="2024-12-02T13:51:34"/>
    <s v="Ana Pereira"/>
    <s v="IDEIAS-ADMINISTRATIVO"/>
    <d v="2024-12-02T13:51:34"/>
    <s v="Fechado"/>
    <x v="0"/>
    <m/>
  </r>
  <r>
    <s v="FB0088563"/>
    <s v="Carrinho PKD"/>
    <x v="2"/>
    <s v="Fazer a compra de ou carrinho para agilizar a troca de produto, devido as bobinas serem grandes._x000a_Foi necessário utilizar o carrinho das fabrimas não adequado."/>
    <s v="Vitor Xavier"/>
    <s v="Pequena mudança local"/>
    <x v="6"/>
    <x v="73"/>
    <x v="1"/>
    <d v="2025-04-05T12:10:57"/>
    <s v="Tiago Carvalho"/>
    <s v="IDEIAS-VACUO"/>
    <m/>
    <s v="Resolvido"/>
    <x v="0"/>
    <m/>
  </r>
  <r>
    <s v="FB0089309"/>
    <s v="Padronização dos batentes nas esteiras das fabrimas 2 e 3 e máquinas 4 e 5 "/>
    <x v="1"/>
    <s v="Sugestão partiu da necessidade de padronização dos batentes nas esteiras das fab 2 e 3 e maq 4 e 5 de acordo com a da esteira da PKD , o que traria a devida segurança e facilidade para trabalho._x000a_O padrão seria igual o atual instalado na PKD conforme foto em anexo."/>
    <s v="Fabio A Oliveira"/>
    <s v="Pequena mudança local"/>
    <x v="2"/>
    <x v="74"/>
    <x v="10"/>
    <d v="2025-06-27T10:52:33"/>
    <s v="Fabio A Oliveira"/>
    <s v="IDEIAS-LOGÍSTICA"/>
    <d v="2025-06-27T10:52:33"/>
    <s v="Fechado"/>
    <x v="1"/>
    <m/>
  </r>
  <r>
    <s v="FB0089384"/>
    <s v="certificado "/>
    <x v="1"/>
    <s v="Solicito que analisem a possibilidade de entregar certificado para os associados que concluírem o treinamento da apostila ( programa de capacitação) que deu início no mês de outubro. "/>
    <s v="Iranildo Costa"/>
    <s v="Pequena mudança local"/>
    <x v="0"/>
    <x v="75"/>
    <x v="0"/>
    <d v="2025-10-29T14:58:32"/>
    <s v="Luzia Rodrigues"/>
    <s v="APROVADORES DE IDEIAS"/>
    <d v="2025-10-29T14:58:32"/>
    <s v="Fechado"/>
    <x v="0"/>
    <m/>
  </r>
  <r>
    <s v="FB0089726"/>
    <s v="Fita de isolamento mais eficiente"/>
    <x v="3"/>
    <s v="A PROPOSTA DA IDEIA DE MELHORIA É SUBSTITUIR O USO DE FITA DE ISOLAMENTO DESCARTAVEL POR FITA RETRÁTIL, ESSA FITA RETRÁTIL SERIA INSTALADA POR MÁQUINA, DE FORMA QUE FAVOREÇA MUITAS CONFIGURAÇÕES DE ISOLAMENTO UTILIZANDO UM UNICO ISOLAMENTO._x000a__x000a_Com essa ideia mapiei os seguintes ganhos:_x000a_- Melhorar a eficiência do isolamento:_x000a_Proporcionar um posicionamento otimizado do suporte para fita de isolamento, garantindo sua utilização prática e eficaz._x000a_- Aumentar a agilidade no processo de isolamento:_x000a_Reduzir o tempo necessário para localizar e utilizar a fita, através de suportes individuais dedicados a cada máquina._x000a_- Garantir a execução consistente do isolamento:_x000a_Evitar falhas no processo devido à indisponibilidade ou dificuldade em encontrar o material necessário._x000a_- Promover a sustentabilidade:_x000a_Minimizar o consumo excessivo de fita plástica de isolamento, incentivando o uso racional do material._x000a__x000a_Demais associados envolvido na ideia: Alexandre Assis e Guilherme Oliveira _x000a__x000a_Giovanna - 18/12: Tiago, por favor, poderia avaliar essa alteração junto ao Guilherme? Creio que verba para tal pode ser para um teste piloto do Prog de ideias e depois da área de SHE, caso possuam. "/>
    <s v="Talita Campos"/>
    <s v="Pequena mudança local"/>
    <x v="1"/>
    <x v="76"/>
    <x v="16"/>
    <d v="2026-07-03T10:50:14"/>
    <s v="Tiago Carvalho"/>
    <s v="APROVADORES DE IDEIAS"/>
    <m/>
    <s v="Aguardando Orçamento"/>
    <x v="1"/>
    <m/>
  </r>
  <r>
    <s v="FB0090012"/>
    <s v="Criar procedimento para abastecimento da maquina com café "/>
    <x v="3"/>
    <s v="Criar uma IT com passo a passo ensinando a abastecer a maquina com café empacotamento "/>
    <s v="Relton Moraes"/>
    <s v="Pequena mudança local"/>
    <x v="2"/>
    <x v="77"/>
    <x v="0"/>
    <d v="2024-12-18T15:29:05"/>
    <s v="Relton Moraes"/>
    <s v="APROVADORES DE IDEIAS"/>
    <m/>
    <s v="Aguardando Execução "/>
    <x v="1"/>
    <m/>
  </r>
  <r>
    <s v="FB0090264"/>
    <s v="protecao de parada do pallet linha 04"/>
    <x v="1"/>
    <s v="Fazer igual o da PKD"/>
    <s v="Daniel Madureira"/>
    <s v="Pequena mudança local"/>
    <x v="6"/>
    <x v="78"/>
    <x v="5"/>
    <d v="2025-07-08T08:48:08"/>
    <s v="Fabio A Oliveira"/>
    <s v="APROVADORES DE IDEIAS"/>
    <d v="2025-07-08T08:48:08"/>
    <s v="Fechado"/>
    <x v="0"/>
    <m/>
  </r>
  <r>
    <s v="FB0090522"/>
    <s v="Criar procedimento para troca de teflon do tubo formador de pacotes "/>
    <x v="1"/>
    <s v="Realizar a criação de um procedimento para troca de teflon do tubo formador de pacotes "/>
    <s v="Relton Moraes"/>
    <s v="Pequena mudança local"/>
    <x v="2"/>
    <x v="79"/>
    <x v="0"/>
    <d v="2025-09-19T13:22:55"/>
    <s v="Relton Moraes"/>
    <s v="APROVADORES DE IDEIAS"/>
    <d v="2025-09-19T13:22:55"/>
    <s v="Fechado"/>
    <x v="1"/>
    <m/>
  </r>
  <r>
    <s v="FB0090523"/>
    <s v="Criar procedimento para corrigir a variação de peso das fabrimas "/>
    <x v="3"/>
    <s v="Criar procedimento para corrigir a variação de peso das fabrimas "/>
    <s v="Relton Moraes"/>
    <s v="Pequena mudança local"/>
    <x v="2"/>
    <x v="80"/>
    <x v="0"/>
    <d v="2025-09-19T13:38:43"/>
    <s v="Relton Moraes"/>
    <s v="APROVADORES DE IDEIAS"/>
    <m/>
    <s v="Aguardando Execução "/>
    <x v="1"/>
    <m/>
  </r>
  <r>
    <s v="FB0090526"/>
    <s v="criar procedimento de troca do teflon da vertical da fabrima "/>
    <x v="1"/>
    <s v="criar procedimento de troca do teflon da vertical da fabrima "/>
    <s v="Relton Moraes"/>
    <s v="Pequena mudança local"/>
    <x v="2"/>
    <x v="81"/>
    <x v="0"/>
    <d v="2025-09-19T13:41:14"/>
    <s v="Relton Moraes"/>
    <s v="APROVADORES DE IDEIAS"/>
    <d v="2025-09-19T13:41:14"/>
    <s v="Fechado"/>
    <x v="1"/>
    <m/>
  </r>
  <r>
    <s v="FB0090527"/>
    <s v="Porta absorvente "/>
    <x v="0"/>
    <s v="Porta absorvente, banheiro feminino pra quando precisar"/>
    <s v="Karina Silva"/>
    <s v="Pequena mudança local"/>
    <x v="1"/>
    <x v="82"/>
    <x v="13"/>
    <d v="2025-09-08T11:29:58"/>
    <m/>
    <s v="IDEIAS-ADMINISTRATIVO"/>
    <d v="2025-09-08T11:29:58"/>
    <s v="Cancelado"/>
    <x v="0"/>
    <m/>
  </r>
  <r>
    <s v="FB0091085"/>
    <s v="CIL, no robô diário "/>
    <x v="1"/>
    <s v="Colocar o CIL , no robô diário , pois não tem para a limpeza do chão "/>
    <s v="Angela Santos"/>
    <s v="Pequena mudança local"/>
    <x v="3"/>
    <x v="83"/>
    <x v="7"/>
    <d v="2025-08-04T06:00:56"/>
    <s v="Bianca Silva"/>
    <s v="APROVADORES DE IDEIAS"/>
    <d v="2025-08-04T06:00:56"/>
    <s v="Fechado"/>
    <x v="0"/>
    <m/>
  </r>
  <r>
    <s v="FB0091212"/>
    <s v="LOTOTO descarga café cru"/>
    <x v="2"/>
    <s v="ao realizar a auditoria de LOTOTO durante a descarga de café e observei algumas oportunidades. Atualmente não é aplicado corretamente, o claviculário fica em um ponto pouco estratégico e não traz a identidade visual do novo LOTOTO e sabemos que isso tem ligação direta com cultura. Então minha sugestão é a elaboração de um &quot;quadro de LOTOTO&quot; para esse ponto, além de incluirmos uma cadeado especifico para o uso do motorista, pois temos relatos de alguns deles serem relutante de deixar a chave do caminhão na mão de nossos operadores. _x000a__x000a_Acredito que a implementação dessa ideia contribuirá para a eficácia do procedimento_x000a__x000a_Demais associados envolvido na ideia: Ricardo Barbosa e Valdecir_x000a__x000a_SHE: o procedimento de LOTOTO se aplica a bloqueio de energia em máquinas e equipamentos. O processo de guarda e bloqueio da chave dos motoristas de carreta não se enquadra em LOTOTO. A pratica da guarda das chaves já é usada na logistica. Gentileza visistar a logistica e aplicar no café crú a pratica usada por eles._x000a__x000a_Ideia reprovada por SHE._x000a__x000a_"/>
    <s v="Talita Campos"/>
    <s v="Pequena mudança local"/>
    <x v="1"/>
    <x v="84"/>
    <x v="8"/>
    <d v="2026-05-06T11:32:36"/>
    <s v="Guilherme Oliveira"/>
    <s v="IDEIAS-CAFÉ CRÚ"/>
    <m/>
    <s v="Resolvido"/>
    <x v="1"/>
    <s v="CANCELADO"/>
  </r>
  <r>
    <s v="FB0091219"/>
    <s v="medicação para o terceiro turno "/>
    <x v="2"/>
    <s v="Sabemos que não podemos nus alto medicar sozinhos , mas quando alguém do turno está com algum tipo de dor ou desconforto, sempre solicitamos um colega quando não se tem o próprio medicamento, e quase sempre é dor de estômago ou analgésico, poderia alinhar com a coordenação algum tipo de instrução . Faz falta esse suporte ao turno._x000a__x000a_Giovanna - 18/12: Alice, poderia verificar o encaminhamento dessa sugestão? "/>
    <s v="Angela Santos"/>
    <s v="Pequena mudança local"/>
    <x v="1"/>
    <x v="85"/>
    <x v="0"/>
    <d v="2026-07-03T10:50:43"/>
    <s v="Alice Santos"/>
    <s v="APROVADORES DE IDEIAS"/>
    <m/>
    <s v="Resolvido"/>
    <x v="0"/>
    <m/>
  </r>
  <r>
    <s v="FB0091319"/>
    <s v="suporte para big bag"/>
    <x v="3"/>
    <s v="Solicitamos uma análise de criação de suporte para pendurar o big bag em casos de retirada de café do torrador 3. A forma que tem feito é: tira o café em um carrinho baixo pequeno depois passa para os carrinho grande e depois leva para o suporte fixo já existente perto das fabrimas para ganhar tempo é viável um suporte móvel nesse ponto. De preferência montar e desmontar para não ocupar espaço "/>
    <s v="Julho Silva"/>
    <s v="Pequena mudança local"/>
    <x v="0"/>
    <x v="86"/>
    <x v="2"/>
    <d v="2025-06-19T09:28:11"/>
    <s v="Moises Costa"/>
    <s v="IDEIAS-PROCESSOS"/>
    <m/>
    <s v="Aguardando Execução "/>
    <x v="0"/>
    <m/>
  </r>
  <r>
    <s v="FB0091938"/>
    <s v="Criar procedimento para ajustar o tamanho do fardo "/>
    <x v="3"/>
    <s v="Criar procedimento para ajustar o tamanho do fardo raumak"/>
    <s v="Relton Moraes"/>
    <s v="Pequena mudança local"/>
    <x v="2"/>
    <x v="87"/>
    <x v="0"/>
    <d v="2025-09-19T13:39:21"/>
    <s v="Relton Moraes"/>
    <s v="APROVADORES DE IDEIAS"/>
    <m/>
    <s v="Aguardando Aprovação de CAPEX"/>
    <x v="1"/>
    <m/>
  </r>
  <r>
    <s v="FB0091939"/>
    <s v="Criar procedimento retirar os fardos mal formados de dentro do robô"/>
    <x v="3"/>
    <s v="Criar procedimento retirar os fardos mal formados de dentro do robô"/>
    <s v="Relton Moraes"/>
    <s v="Pequena mudança local"/>
    <x v="2"/>
    <x v="88"/>
    <x v="23"/>
    <d v="2024-12-18T15:28:20"/>
    <s v="Relton Moraes"/>
    <s v="APROVADORES DE IDEIAS"/>
    <m/>
    <s v="Aguardando Execução "/>
    <x v="1"/>
    <m/>
  </r>
  <r>
    <s v="FB0091943"/>
    <s v="Criar procedimento de troca de bobina raumak"/>
    <x v="1"/>
    <s v="Criar procedimento de troca de bobina raumak"/>
    <s v="Relton Moraes"/>
    <s v="Pequena mudança local"/>
    <x v="2"/>
    <x v="89"/>
    <x v="0"/>
    <d v="2025-09-19T13:41:51"/>
    <s v="Relton Moraes"/>
    <s v="APROVADORES DE IDEIAS"/>
    <d v="2025-09-19T13:41:51"/>
    <s v="Fechado"/>
    <x v="1"/>
    <m/>
  </r>
  <r>
    <s v="FB0091975"/>
    <s v="Melhoria no procedimento de troca de bobina"/>
    <x v="3"/>
    <s v="no procedimento diz para o operador assim que trocar a bobina passar o filme com cafè porem nem sempre se possivel fazer dessa forma, devido a falha que pode gerar na fotocelula  IT-09-211"/>
    <s v="Relton Moraes"/>
    <s v="Pequena mudança local"/>
    <x v="2"/>
    <x v="90"/>
    <x v="0"/>
    <d v="2025-06-02T15:11:37"/>
    <s v="Relton Moraes"/>
    <s v="APROVADORES DE IDEIAS"/>
    <m/>
    <s v="Aguardando Execução "/>
    <x v="1"/>
    <m/>
  </r>
  <r>
    <s v="FB0092008"/>
    <s v="montar um quadro onde conseguimos acompanhar os BOS e as etiquetas de SHE"/>
    <x v="0"/>
    <s v="A ideia é colocar esse quadro no lado de fora do contêiner da moagem do lado da porta, onde podemos estar acompanhando o fluxo das etiquetas de SHE e os BOS, faríamos ele por turno pra não ficar tudo junto e sabermos qual turno está menos engajado _x000a_Assim o pessoal ficaria mais atento pra não deixar de fazer e poderiam ajudar a lembra as pessoas que esqueceram de fazer _x000a_Nele poderias colocar o nome o turno dos associados, assim cada turno se organizar pra fazer e não esquecer _x000a__x000a__x000a_Aline: O ideal seria liberar nos tablets o acesso para verificação dessa informação direto pelo DMOS, liberando acesso a criar listas personalizadas, de acordo com a necessidade de cada área. "/>
    <s v="Alex Teixeira"/>
    <s v="Pequena mudança local"/>
    <x v="0"/>
    <x v="91"/>
    <x v="16"/>
    <d v="2025-06-17T15:09:01"/>
    <m/>
    <s v="IDEIAS-ADMINISTRATIVO"/>
    <d v="2025-06-17T15:09:01"/>
    <s v="Cancelado"/>
    <x v="0"/>
    <m/>
  </r>
  <r>
    <s v="FB0092210"/>
    <s v="Rodo de 1M (cabo) para limpeza torrador 3"/>
    <x v="2"/>
    <s v="Confeccionar rodo com cabo de 1M para limpeza do esfriador do torrador 3._x000a_chapa de 38cm(largura) X 18cm (altura) (igual a existente no café cru)_x000a_Confeccionar suporte para armazenamento_x000a__x000a_Pedro Ferreira: é necessário solicitar a orçamento para Padrimax. O material deve ser de tubo galvanizado. "/>
    <s v="Nilton F Costa"/>
    <s v="Pequena mudança local"/>
    <x v="1"/>
    <x v="92"/>
    <x v="12"/>
    <d v="2026-05-22T13:53:14"/>
    <s v="Pedro Ferreira"/>
    <s v="IDEIAS-PROCESSOS"/>
    <m/>
    <s v="Resolvido"/>
    <x v="0"/>
    <m/>
  </r>
  <r>
    <s v="FB0092211"/>
    <s v="suporte para calha de recebimento de café cru"/>
    <x v="1"/>
    <s v="Titular: Nilton Ferreira_x000a_fazer suporte para manter a calha na vertical de forma organizada, reduzindo o risco de segurança na área._x000a_Hiago solicitar orçamento ao paulinho"/>
    <s v="Nilton F Costa"/>
    <s v="Pequena mudança local"/>
    <x v="1"/>
    <x v="93"/>
    <x v="24"/>
    <d v="2025-07-23T07:23:54"/>
    <m/>
    <s v="IDEIAS-CAFÉ CRÚ"/>
    <d v="2025-07-23T07:23:54"/>
    <s v="Fechado"/>
    <x v="0"/>
    <m/>
  </r>
  <r>
    <s v="FB0092212"/>
    <s v="escada para entrada e saída da carreta "/>
    <x v="3"/>
    <s v="Titular: Nilton Ferreira_x000a_fazer ou comprar uma escada de alumínio (tipo escada de piscina) para entrada e saida na carreta de café cru._x000a_Item levantado na auditoria de SHE e avaliado risco ergonômico._x000a__x000a_SHE: Foi feito a compra da escada e iremos implementa-la"/>
    <s v="Nilton F Costa"/>
    <s v="Pequena mudança local"/>
    <x v="1"/>
    <x v="94"/>
    <x v="24"/>
    <d v="2026-04-16T15:36:21"/>
    <s v="Guilherme Oliveira"/>
    <s v="IDEIAS-CAFÉ CRÚ"/>
    <m/>
    <s v="Aguardando Execução "/>
    <x v="0"/>
    <m/>
  </r>
  <r>
    <s v="FB0092461"/>
    <s v="colocar uma plataforma na balança B2.3 e B2.4"/>
    <x v="2"/>
    <s v="E realizado limpeza nas balanças B2.3 e B2.4 de transporte de café torrado, no local é difícil de colocar escada e tem muita estrutura de ferro pode acontecer acidente. Se colocar uma plataforma como foi realizado do coletor de amostra do torrador 1 fazer o mesmo nas balanças B2.3 e B2.4°."/>
    <s v="Edvan Santos"/>
    <s v="Pequena mudança local"/>
    <x v="1"/>
    <x v="95"/>
    <x v="11"/>
    <d v="2026-05-20T15:58:47"/>
    <s v="Ana Martins"/>
    <s v="IDEIAS-PROCESSOS"/>
    <m/>
    <s v="Resolvido"/>
    <x v="0"/>
    <m/>
  </r>
  <r>
    <s v="FB0092502"/>
    <s v="melhoria na rosca densadora para impacto de densidade "/>
    <x v="0"/>
    <s v="Alteração na faixa de amperagem para aumentar o ajuste operacional e reduzir desarme da rosca (melhoria já implementada). Time: Alexandre Oliveira, Jader, Igor Souza, Marcão, Romero e Andyson"/>
    <s v="Alexandre Oliveira"/>
    <s v="Pequena mudança local"/>
    <x v="6"/>
    <x v="96"/>
    <x v="3"/>
    <d v="2025-05-20T11:17:39"/>
    <m/>
    <s v="IDEIAS-PROCESSOS"/>
    <d v="2025-05-20T11:17:39"/>
    <s v="Cancelado"/>
    <x v="1"/>
    <m/>
  </r>
  <r>
    <s v="FB0094453"/>
    <s v="Instalação de jabra/microfone na sala Piumhi"/>
    <x v="1"/>
    <s v="Para conectar remoto em reuniões que acontecem na sala Piumhi (por exemplo OPS2) é conectado jabra. No entanto, o mesmo não possui boa captação de audio de todos presentes na sala, assim a interação remota na OPS 2 fica prejudicada._x000a_Sugestão é instalar um sistema de microfone e, se possível, junto à TV específico para conexão em reuniões."/>
    <m/>
    <s v="Pequena mudança local"/>
    <x v="0"/>
    <x v="97"/>
    <x v="25"/>
    <d v="2025-07-23T13:26:38"/>
    <s v="Ana Pereira"/>
    <s v="IDEIAS-ADMINISTRATIVO"/>
    <d v="2025-07-23T13:26:38"/>
    <s v="Fechado"/>
    <x v="0"/>
    <m/>
  </r>
  <r>
    <s v="FB0095351"/>
    <s v="barra da estrutura dos moinhos 1 ao 6"/>
    <x v="0"/>
    <s v="Risco de bater a cabeça, _x000a_Elaborar Junto com a galera de she se conseguimos fazer uma melhoria nela, como subi ela mais pra cima, fazer uma barra a mais e colocar uma cruzada com a outra tipo um X ou retirar ela mesmo, deixar sem em todos as estruturas dos moinhos._x000a__x000a_SHE: precisamos da avaliação estrutural para seguirmos com a autorização da remoção. Não temos o desenho técnico e nem laudo estrutural.  O objetivo é saber se remover essa estrutura iremos comprometer todo o conjunto. Gentileza direcionar para engenharia._x000a__x000a_Pedro Ferreira: Do ponto de vista da Engenharia, é necessário elaborar um laudo estrutural da viga, e se através desse, comprova a possiblidade de retirada da viga, entretanto, o valor deste laudo é alto. Será necessário pedir orçamento com a UNIQUE. Assim, Rubens ficará responsável em solicitar orçamento. "/>
    <s v="Alex Teixeira"/>
    <s v="Pequena mudança local"/>
    <x v="1"/>
    <x v="98"/>
    <x v="22"/>
    <d v="2026-03-17T15:45:45"/>
    <m/>
    <s v="IDEIAS-SHE"/>
    <d v="2026-03-17T15:45:45"/>
    <s v="Cancelado"/>
    <x v="0"/>
    <m/>
  </r>
  <r>
    <s v="FB0095590"/>
    <s v="Desbloquear as torras quando ocorrer sobre temperatura na calha, sempre que esse alarme acontece as torras são bloqueadas não permitindo que continuemos tor…."/>
    <x v="0"/>
    <s v="Desbloquear as torras quando ocorrer “ sobre temperatura na calha “, sempre que esse alarme acontece as torras são bloqueadas não permitindo que continuemos torrando, sendo que seria necessário bloquear apenas o Cavaco para que impeça a temperatura de continuar subindo, até porque ao liberar as cargas ajuda a setar a temperatura no set point ideal ajudando a abaixar a temperatura. Esse ponto foi passado pelo João Cruz e serve de grande adianto para nós em não perder tanto tempo aguardando a temperatura abaixar. _x000a__x000a__x000a_SHE: Do ponto de vista de segurança não vejo problemas. Necessário validar com a engenharia a ideia._x000a__x000a__x000a_Pedro Ferreira: Melhoria mexe na lógica, rubens não tem certeza se tem como realizar e está tentando viabilizar, como não tem como cancelar depois de aprovado será mantida em rascunho até a resposta final e então aprovar e concluir ou cancelar!_x000a__x000a_Pedro Ferreira: No ponto de vista de Engenharia também é possível, entretanto, é necessário validação global do safety mais a alteração da logica dos torradores. Dessa forma, a ideia será CANCELADA, devido a alta complexidade e tempo. "/>
    <s v="Gean Silva"/>
    <s v="Pequena mudança local"/>
    <x v="4"/>
    <x v="99"/>
    <x v="2"/>
    <d v="2025-09-03T14:55:57"/>
    <m/>
    <s v="IDEIAS-PROCESSOS"/>
    <d v="2025-09-03T14:55:57"/>
    <s v="Cancelado"/>
    <x v="0"/>
    <m/>
  </r>
  <r>
    <s v="FB0095595"/>
    <s v="Feedback"/>
    <x v="0"/>
    <s v="Facilities é uma área que sempre está aberta em resolver os itens que sugerimos . Muito fácil de trabalhar com pessoas que valorizam o tempo gasto na área para identificar os pontos de melhorias. "/>
    <s v="Ruth Ribeiro"/>
    <s v="Pequena mudança local"/>
    <x v="0"/>
    <x v="100"/>
    <x v="26"/>
    <d v="2025-04-22T15:53:26"/>
    <m/>
    <s v="IDEIAS-ADMINISTRATIVO"/>
    <d v="2025-04-22T15:53:26"/>
    <s v="Cancelado"/>
    <x v="1"/>
    <m/>
  </r>
  <r>
    <s v="FB0096276"/>
    <s v="Bancada para amostras de café verde"/>
    <x v="1"/>
    <s v="Implementação de uma bancada para colocar amostras de café verde, para facilitar a atividade de retiragem de amostras e otimizar o tempo de atividade que não agregam valor (voltas no setor descenessárias) + subir e descer escadas mais vezes que o necessário "/>
    <s v="Izabela Pugliesi"/>
    <s v="Pequena mudança local"/>
    <x v="0"/>
    <x v="101"/>
    <x v="8"/>
    <d v="2025-04-05T06:38:36"/>
    <s v="Izabela Pugliesi"/>
    <s v="IDEIAS-CAFÉ CRÚ"/>
    <d v="2025-04-05T06:38:36"/>
    <s v="Fechado"/>
    <x v="1"/>
    <m/>
  </r>
  <r>
    <s v="FB0096684"/>
    <s v="coloca o ponto de almoço automático "/>
    <x v="1"/>
    <s v="Coloca uma trava não possibilitando o associado bater o ponto antes de 60 minuto já existe em outras empresa_x000a__x000a_Fabrizia Soares: inciativa não está prevista para a Planta de Piumhi conforme orientação do Coorporativo. "/>
    <s v="Julho Silva"/>
    <s v="Pequena mudança local"/>
    <x v="4"/>
    <x v="102"/>
    <x v="20"/>
    <d v="2025-07-23T07:18:47"/>
    <s v="Fabrizia Soares"/>
    <s v="IDEIAS-MELHORIA CONTÍNUA"/>
    <d v="2025-07-23T07:18:47"/>
    <s v="Fechado"/>
    <x v="0"/>
    <m/>
  </r>
  <r>
    <s v="FB0096825"/>
    <s v="PIS e COFINS"/>
    <x v="1"/>
    <s v="IDEIA _x000a_Sugiro que seja realizada uma avaliação acerca da oportunidade do aproveitamento do incentivo fiscal relacionado à planta (PIS e COFINS) para materiais de almoxarifado, materiais e serviços de manutenção, bem como utilidades. Tenho ciência de que todos os itens essenciais e primordiais para o processo produtivo são passíveis de crédito, e essa informação já foi repassada às equipes de almoxarifado e manutenção. No entanto, é necessário compreender se estamos fazendo o uso adequado desse benefício fiscal. Caso não esteja sendo plenamente aproveitado, é fundamental iniciar a utilização de forma adequada e eficiente._x000a__x000a_Gentileza encaminhar essa ideia ao Ricardo Nischida, já tive a oportunidade de adiantar a ideia com ele._x000a__x000a_APROVAÇÃO _x000a_Ana, excelente ideia. Obrigada por trazer clareza, inclusive já sinalizando ao próprio Ricardo. "/>
    <s v="Ana Pereira"/>
    <s v="Pequena mudança local"/>
    <x v="4"/>
    <x v="103"/>
    <x v="20"/>
    <d v="2025-07-07T11:30:01"/>
    <s v="Ricardo Nishida"/>
    <s v="IDEIAS-MELHORIA CONTÍNUA"/>
    <d v="2025-07-07T11:30:01"/>
    <s v="Fechado"/>
    <x v="1"/>
    <m/>
  </r>
  <r>
    <s v="FB0097919"/>
    <s v="Robô da 4 é 5"/>
    <x v="0"/>
    <s v="Na questão do robô da 4 e 5 sugiro que todos os turnos fizessem a limpeza diária de varrer só tirar o excesso de café no chão ou pacote estourado tirassem, para manter limpo, pois a limpeza do CIL mensal do robô é do 3 turno, a cola gruda muito e suja muito de café, eu sugiro que por favor levante essa questão para todos nós da Fábrica, para nós operadores auxiliares fazessem uma limpeza diária no início de cada turno essa limpeza pode até ser feito na hora do CIL DAS FABRIMAS enquanto um faz a limpeza das fabrimas o outro vai lá e limpa é questão de 2min para limpar, Que todos nós pudessem reconhecer está questão, para ajudar um ao outro , serei grata se essa ideia fossem aplicadas nas áreas, principalmente no robô da 2 e 3 e da PKD, mesmo que não suja muito"/>
    <s v="Emilly Silva"/>
    <s v="Pequena mudança local"/>
    <x v="0"/>
    <x v="104"/>
    <x v="7"/>
    <d v="2025-06-13T00:14:32"/>
    <m/>
    <s v="APROVADORES DE IDEIAS"/>
    <d v="2025-06-13T00:14:32"/>
    <s v="Cancelado"/>
    <x v="0"/>
    <m/>
  </r>
  <r>
    <s v="FB0098422"/>
    <s v="alteração da altura do trilho suporte da régua (altura)"/>
    <x v="1"/>
    <s v="Centerlining consta que o valor de trabalho é 174 até 189 ,porém no máximo de trabalho que operadores usam corretamente é 174 de régua o mínimo e o máximo 180 que seria o valor correto de trabalho , o valor acima de 182 apresenta pacote com fundo amassado e o aumento de tamanho causando problemas na entrada da encaixotadora, sendo assim abertura das guia de entrada."/>
    <s v="Wesley J Silva"/>
    <s v="Pequena mudança local"/>
    <x v="4"/>
    <x v="105"/>
    <x v="1"/>
    <d v="2025-10-30T14:18:59"/>
    <s v="Ricardo Nishida"/>
    <s v="IDEIAS-VACUO"/>
    <d v="2025-10-30T14:18:59"/>
    <s v="Fechado"/>
    <x v="0"/>
    <m/>
  </r>
  <r>
    <s v="FB0098431"/>
    <s v="Realizar nova Demarcação "/>
    <x v="1"/>
    <s v="Realizar nova demarcação na seladora fitas , pois foi alterado o posicionamento da mesma para esquadrejar a caixa box para melhor posição do robô para melhorar a sucção da caixa . Decisão foi tomada pela manutenção. Após a modificação houve melhora da pressão das unidades geradoras de vácuo."/>
    <s v="Patrick Pessoa"/>
    <s v="Pequena mudança local"/>
    <x v="4"/>
    <x v="106"/>
    <x v="1"/>
    <d v="2025-03-05T15:35:17"/>
    <s v="Relton Moraes"/>
    <s v="IDEIAS-VACUO"/>
    <d v="2025-03-05T15:35:17"/>
    <s v="Fechado"/>
    <x v="0"/>
    <m/>
  </r>
  <r>
    <s v="FB0098441"/>
    <s v="PARCEIRIA COM LAKE PARK "/>
    <x v="2"/>
    <s v="IDEIA_x000a__x000a_No passado tivemos uma parceria com o PTC, por um breve período. Muitos associados não conseguiram se associar por ser um valor bem considerável. Em Capitólio temos o Lake Park, no hotel Balneário do Lago, é um lugar muito bacana para ir com a família, divertido, aconchegante e pertinho de Piumhi.  _x000a_Eu já tive desconto no ingresso por ser associada do Sicoob Credialto. Acredito que talvez a gente consiga uma parceria para os associados terem desconto na compra de ingressos. É uma opção excelente de passeio nos finais de semana, certeza que em algum momento todos os associados conseguiriam aproveitar, já que não seria um compromisso mensal, apenas quando quiserem/puderem ir. _x000a__x000a_APROVAÇÃO_x000a_Aline, obrigada pela sugestão. Eu vou aprovar, a priori, pois imagino ser possível investigar algo, mas garantido mesmo somente com a análise e aprovação da Fabrizia, que precisaria discutir com o time de benefícios.  Vou adicioná-la para poder colocá-la no fluxo. _x000a__x000a_Fabrizia Soares: inciativa não está prevista para a Planta de Piumhi conforme orientação do Coorporativo. "/>
    <s v="Aline Fernandes"/>
    <s v="Pequena mudança local"/>
    <x v="0"/>
    <x v="107"/>
    <x v="16"/>
    <d v="2026-07-14T10:33:51"/>
    <s v="Fabrizia Soares"/>
    <s v="APROVADORES DE IDEIAS"/>
    <m/>
    <s v="Resolvido"/>
    <x v="1"/>
    <m/>
  </r>
  <r>
    <s v="FB0099243"/>
    <s v="Melhorar guia de loto (etapa teste) para ar comprimido"/>
    <x v="1"/>
    <s v="Trago  novamente aqui a sugestão de alteração dos guias de loto na etapa do teste. Já mais de 2 vezes me foi reportado que o teste - especialmente nos pontos de ar onde o cadeado vai direto no manômetro - é feito ativando a pistola de ar, para remover energia acumulada e também vendo se a pressão do ar zerou no manômetro. Todos os mapas seguem com o &quot;forçar a válvula&quot; somente - que se aplica aos pontos que requerem o dispositivo vermelho. Hoje, me parece que temos mais travamentos diretos do que na válvula, então é importante atualizar a guia. Já sinto que essa etapa muitas vezes é ignorada nas explicações, e tendo os documentos não atualizados vejo uma fragilidade ainda maior para cobrarmos. _x000a__x000a_"/>
    <s v="Giovanna Biffaratte"/>
    <s v="Pequena mudança local"/>
    <x v="1"/>
    <x v="108"/>
    <x v="20"/>
    <d v="2025-07-23T08:23:01"/>
    <s v="Guilherme Oliveira"/>
    <s v="IDEIAS-MELHORIA CONTÍNUA"/>
    <d v="2025-07-23T08:23:01"/>
    <s v="Fechado"/>
    <x v="1"/>
    <m/>
  </r>
  <r>
    <s v="FB0099246"/>
    <s v="Projeção de pó no teto da PKD"/>
    <x v="2"/>
    <s v="Foi observado aumento da quantidade de pó presente no teto da PKD e na estrutura da plataforma do mezanino (amarela)._x000a_Tem-se a hipótese de que os exaustores estejam criando um fluxo de ar no interior da máquina vindo dos dosadores para a roda de mandril. Caso, isto seja comprovado como causa, a sugestão de melhoria é instalar um policarbonato isolando a região dos mandris para impedir o fluxo de ar._x000a_Este fechamento deve considerar desmontagem para limpeza diária/mensal e para manutenções."/>
    <m/>
    <s v="Pequena mudança local"/>
    <x v="4"/>
    <x v="109"/>
    <x v="1"/>
    <d v="2025-10-09T14:03:39"/>
    <s v="Natalia De Mendonca"/>
    <s v="IDEIAS-VACUO"/>
    <m/>
    <s v="Resolvido"/>
    <x v="0"/>
    <m/>
  </r>
  <r>
    <s v="FB0099331"/>
    <s v="Atualização Mapa de Ajustes "/>
    <x v="1"/>
    <s v="Realizar uma atualização de valores nos pontos marcados no mapa de Ajustes._x000a_Valores esses Estabelecidos por Mário Rizo após manutenção ._x000a_Pontos esses ._x000a_* Transferência de pacotes _x000a_* Alimentação ( tesoura)_x000a__x000a_Relton: foi realizado verificação dos parâmetros na maquina, agora e confrontar os parâmetros que foram anotados com o do mapa de ajuste e avaliar a alteração do mapa_x000a_"/>
    <s v="Patrick Pessoa"/>
    <s v="Pequena mudança local"/>
    <x v="4"/>
    <x v="110"/>
    <x v="1"/>
    <d v="2025-12-02T09:34:05"/>
    <s v="Moises Costa"/>
    <s v="IDEIAS-VACUO"/>
    <d v="2025-12-02T09:34:05"/>
    <s v="Fechado"/>
    <x v="0"/>
    <m/>
  </r>
  <r>
    <s v="FB0100096"/>
    <s v="Melhoria sensor da troca de Silo"/>
    <x v="1"/>
    <s v="Melhoria na posição do sinal luminoso da IHM do alpino para facilitar a troca de Silo _x000a_Sugestão mudar a posição do sinal luminoso para o outro lado do alpino onde fica bem em frente da mesa do borracheiro de 0 hora _x000a_"/>
    <s v="Karina Silva"/>
    <s v="Pequena mudança local"/>
    <x v="4"/>
    <x v="111"/>
    <x v="1"/>
    <d v="2025-08-15T08:20:21"/>
    <s v="Andre Mendes Costa"/>
    <s v="IDEIAS-VACUO"/>
    <d v="2025-08-15T08:20:21"/>
    <s v="Fechado"/>
    <x v="0"/>
    <m/>
  </r>
  <r>
    <s v="FB0100105"/>
    <s v="Troca das cores do manômetro "/>
    <x v="2"/>
    <s v="Troca das cores do manômetro PKD não tem visibilidade na cor preta _x000a__x000a_----_x000a__x000a_Resposta: Pedro Ferreira_x000a__x000a_Ideia em execução, falta pedir os manômetros e aguardar preventiva, para troca dos mesmos. "/>
    <s v="Karina Silva"/>
    <s v="Pequena mudança local"/>
    <x v="2"/>
    <x v="112"/>
    <x v="1"/>
    <d v="2026-06-29T08:15:46"/>
    <s v="Andre Mendes Costa"/>
    <s v="APROVADORES DE IDEIAS"/>
    <m/>
    <s v="Resolvido"/>
    <x v="0"/>
    <m/>
  </r>
  <r>
    <s v="FB0100115"/>
    <s v="apertar aparas"/>
    <x v="0"/>
    <s v="Algum utensílio específico para apertar as pontas de aparas , pois usam a vassoura , e faz falta ela na linha "/>
    <s v="Angela Santos"/>
    <s v="Pequena mudança local"/>
    <x v="0"/>
    <x v="113"/>
    <x v="1"/>
    <d v="2025-06-09T14:06:20"/>
    <m/>
    <s v="IDEIAS-VACUO"/>
    <d v="2025-06-09T14:06:20"/>
    <s v="Cancelado"/>
    <x v="0"/>
    <m/>
  </r>
  <r>
    <s v="FB0100188"/>
    <s v="instalar botoeira de emergencia na esteira do zero hora"/>
    <x v="2"/>
    <s v="DEV0167850_x000a_Falta sistema de parada de emergência nessa esteira na PKD_x000a__x000a_PROJETO DE SEGURANÇA/ENGENHARIA_x000a__x000a_- Pedro Ferreira: _x000a_Foi alinhado com o Guilherme e a parte de realização deve ser destinada ao André. "/>
    <m/>
    <s v="Pequena mudança local"/>
    <x v="1"/>
    <x v="114"/>
    <x v="1"/>
    <d v="2026-09-11T12:54:47"/>
    <s v="Andre Mendes Costa"/>
    <s v="APROVADORES DE IDEIAS"/>
    <m/>
    <s v="Resolvido"/>
    <x v="0"/>
    <s v="Cancelada"/>
  </r>
  <r>
    <s v="FB0100516"/>
    <s v="implementar um corrimão ou uma barreira "/>
    <x v="0"/>
    <s v="Implementar uma barreira separando os paletes de caixa do borracheiro ,pois percebi que a movimentação da empilhadeira fica muito perto do colaborador que está fazendo a atividade do borracheiro correndo risco de atropelamento _x000a__x000a_Comentário:_x000a_A área de segregação não é permitido a entrada das empilhadeiras, assim, a movimentação dentro da área deve ser somente com palheteiras _x000a_Obs: Comunicar com o time de almoxarifado e Hiago. "/>
    <s v="Weverton Medeiro"/>
    <s v="Pequena mudança local"/>
    <x v="1"/>
    <x v="115"/>
    <x v="1"/>
    <d v="2025-05-16T11:13:04"/>
    <m/>
    <s v="IDEIAS-VACUO"/>
    <d v="2025-05-16T11:13:04"/>
    <s v="Cancelado"/>
    <x v="0"/>
    <m/>
  </r>
  <r>
    <s v="FB0100990"/>
    <s v="rolete de data da fabrima 2"/>
    <x v="2"/>
    <s v="Ao manusear o rolete para arrumar a codificação, o dedo acaba sendo meio espremido devido do rolete do corte ficar próximo do rolete da data ,sugiro que afaste uns dos roletes só um pouquinho para ficar mais fácil de manusear"/>
    <s v="Emilly Silva"/>
    <s v="Pequena mudança local"/>
    <x v="1"/>
    <x v="116"/>
    <x v="19"/>
    <d v="2025-07-01T16:20:57"/>
    <s v="Igor Sousa"/>
    <s v="APROVADORES DE IDEIAS"/>
    <m/>
    <s v="Resolvido"/>
    <x v="0"/>
    <m/>
  </r>
  <r>
    <s v="FB0101211"/>
    <s v="Carrinho do detector de metal PKD"/>
    <x v="2"/>
    <s v="Realizar mudanças no acoplamento da mangueira do carrinho do detector de metal PKD como os dos torradores do rejeito do cablevey como a da foto sugerida para facilitar o acesso com o aspirador para limpezas pôs hoje não consegue passar com aspirador devido ao tamanho do carrinho e a mangueira ficar presa na carcaça e não tem espaço para movimentação . Com o modelo de acoplamento sugerido poderíamos tirá-lo do local para a passagem do aspirador "/>
    <s v="Patrick Pessoa"/>
    <s v="Pequena mudança local"/>
    <x v="0"/>
    <x v="117"/>
    <x v="1"/>
    <d v="2026-03-06T16:22:36"/>
    <s v="Ruth Ribeiro"/>
    <s v="IDEIAS-VACUO"/>
    <m/>
    <s v="Resolvido"/>
    <x v="0"/>
    <m/>
  </r>
  <r>
    <s v="FB0102062"/>
    <s v="material de embalagem no mop"/>
    <x v="1"/>
    <s v="Fazer as anotações das embalagens no mop_x000a_Pontos positivo_x000a_Mais rápido para o operador fazer_x000a__x000a_Melhor Rastreabilidade para a qualidade e almoxarifado _x000a__x000a_Relton: Melhoria do Mop esta em andamento."/>
    <s v="Iranildo Costa"/>
    <s v="Pequena mudança local"/>
    <x v="0"/>
    <x v="118"/>
    <x v="19"/>
    <d v="2025-10-30T09:55:17"/>
    <s v="Relton Moraes"/>
    <s v="APROVADORES DE IDEIAS"/>
    <d v="2025-03-17T09:49:45"/>
    <s v="Fechado"/>
    <x v="0"/>
    <m/>
  </r>
  <r>
    <s v="FB0102437"/>
    <s v="Iluminação de parte traseira (corredor) da PKD "/>
    <x v="1"/>
    <s v="Colocar uma iluminação em uma parte escura traseira da PKD. Hoje há uma luz no teto, que é pequena e portanto, não clareia essa parte (ver foto). Ao lado há uma luz maior que ajuda a clarear dentro da máquna no ponto imediatamente abaixo. A sugestão é: _x000a_- colocar uma luz maior também nesse ponto onde a luz é pequena e ver se clareia a parte interna que sinalizei_x000a_ou _x000a_-instalar uma luz interna para clarear._x000a_São áreas que os operadores precisam facilmente conseguir visualizar a máquina"/>
    <s v="Giovanna Biffaratte"/>
    <s v="Pequena mudança local"/>
    <x v="4"/>
    <x v="119"/>
    <x v="1"/>
    <d v="2025-10-16T13:39:04"/>
    <s v="Leandro Freire"/>
    <s v="IDEIAS-VACUO"/>
    <d v="2025-10-16T13:39:04"/>
    <s v="Fechado"/>
    <x v="1"/>
    <m/>
  </r>
  <r>
    <s v="FB0102890"/>
    <s v="software relacionado a codificação das fabrimas"/>
    <x v="3"/>
    <s v="compra de software para conseguir travar o acesso a codificação das fabrimas."/>
    <s v="Pedro Ferreira"/>
    <s v="Pequena mudança local"/>
    <x v="2"/>
    <x v="120"/>
    <x v="7"/>
    <d v="2025-04-25T11:18:14"/>
    <s v="Henrique Cardoso"/>
    <s v="APROVADORES DE IDEIAS"/>
    <m/>
    <s v="Aguardando Aprovação de CAPEX"/>
    <x v="1"/>
    <m/>
  </r>
  <r>
    <s v="FB0102911"/>
    <s v="Colocar um braço móvel"/>
    <x v="1"/>
    <s v="Colocar braço móvel para colocar a etiqueta ,para evitar pessoas no local de manobra de Empilhadeira,tirando risco de atropelamento _x000a__x000a_Resposta: Pedro Ferreira _x000a_Houve aprovação do time de SHE, assim, é necessário criar o equipamento flexível para inserir, assim, deve realizar orçamento com PADRIMAX, ou buscar na internet fontes alternativas para realizar a melhoria._x000a_"/>
    <s v="Fabio S Santos"/>
    <s v="Pequena mudança local"/>
    <x v="1"/>
    <x v="121"/>
    <x v="10"/>
    <d v="2025-06-19T10:48:31"/>
    <s v="Fabio A Oliveira"/>
    <s v="IDEIAS-LOGÍSTICA"/>
    <d v="2025-06-19T10:48:31"/>
    <s v="Fechado"/>
    <x v="0"/>
    <m/>
  </r>
  <r>
    <s v="FB0102939"/>
    <s v="TREINAMENTO SCRIPT"/>
    <x v="1"/>
    <s v="IDEIA_x000a_Ofertar treinamento de criação de scripts no SAP, para auxiliar e acelerar as demandas diárias. _x000a__x000a_APROVAÇÃO _x000a_Aline, estou aprovando sua ideia e podemos pensar em como criar uma academia interna sobre. Estou colocando a Luzia na ideia para nos ajudar a elaborar a proposta no segundo semestre. "/>
    <s v="Aline Fernandes"/>
    <s v="Pequena mudança local"/>
    <x v="0"/>
    <x v="122"/>
    <x v="20"/>
    <d v="2026-05-28T12:14:27"/>
    <s v="Luzia Rodrigues"/>
    <s v="IDEIAS-MELHORIA CONTÍNUA"/>
    <d v="2026-05-28T12:14:27"/>
    <s v="Fechado"/>
    <x v="1"/>
    <m/>
  </r>
  <r>
    <s v="FB0103691"/>
    <s v="mudar câmara fria de lugar"/>
    <x v="1"/>
    <s v="Colocar câmara fria em frente à PKD _x000a__x000a_Pedro Ferreira: Essa ideia é de alto custo, dessa forma, sugiro que de sugestão de um projeto para execução da mesma. "/>
    <s v="Fabricio Brant"/>
    <s v="Pequena mudança local"/>
    <x v="1"/>
    <x v="123"/>
    <x v="1"/>
    <d v="2025-07-23T11:18:14"/>
    <s v="Rubens Teixeira"/>
    <s v="IDEIAS-VACUO"/>
    <d v="2025-07-23T11:18:14"/>
    <s v="Fechado"/>
    <x v="0"/>
    <m/>
  </r>
  <r>
    <s v="FB0103726"/>
    <s v="válvula esfera "/>
    <x v="3"/>
    <s v="Em uma auditoria com a Geovana na PKD chegamos a conclusão que é necessário um passo a passo para realizar o bloqueio em alguns pontos que tem na área da PKD. O QE do quadro de loto não está funcionando e o mais viável é colocar o passo a passo nos pontos de bloqueio que é utilizado a válvula esférica _x000a__x000a_09/09: Verificando viabilidade com time de SHE_x000a__x000a_SHE: Aprovado. criar um bloqueio especifico para este esquivamento. Ele não faz parte da PKD. Previsão de conclusão 30/11/2025. "/>
    <s v="Iranildo Costa"/>
    <s v="Pequena mudança local"/>
    <x v="1"/>
    <x v="124"/>
    <x v="1"/>
    <d v="2026-05-12T14:07:33"/>
    <s v="Tiago Carvalho"/>
    <s v="IDEIAS-VACUO"/>
    <m/>
    <s v="Aguardando Execução "/>
    <x v="0"/>
    <m/>
  </r>
  <r>
    <s v="FB0103941"/>
    <s v="mudar no cil a limpeza das correias colocar somente com água "/>
    <x v="1"/>
    <s v="Atualizar no cil limpeza das correias somente pra água "/>
    <s v="Carlos Souza"/>
    <s v="Pequena mudança local"/>
    <x v="2"/>
    <x v="125"/>
    <x v="5"/>
    <d v="2025-12-18T10:03:28"/>
    <s v="Bianca Silva"/>
    <s v="APROVADORES DE IDEIAS"/>
    <d v="2025-12-18T10:03:28"/>
    <s v="Fechado"/>
    <x v="0"/>
    <m/>
  </r>
  <r>
    <s v="FB0104088"/>
    <s v="quadro de utensílios de limpeza "/>
    <x v="0"/>
    <s v="Colocar quadro de utensílios de limpeza exclusivo para peneiras"/>
    <m/>
    <s v="Pequena mudança local"/>
    <x v="0"/>
    <x v="126"/>
    <x v="27"/>
    <d v="2025-06-03T10:49:05"/>
    <m/>
    <s v="IDEIAS-PROCESSOS"/>
    <d v="2025-06-03T10:49:05"/>
    <s v="Cancelado"/>
    <x v="0"/>
    <m/>
  </r>
  <r>
    <s v="FB0104140"/>
    <s v="Peneira vibratória para moega de reprocesso da moagem"/>
    <x v="2"/>
    <s v="IDEIA _x000a__x000a_Utilizar uma peneira elétrica para peneirar o café na moega, isso vai fazer com que haja redução do tempo e melhoria no esforço do auxiliar/operador, visto que para esse processo requer tempo e uma peneira com tamanho ideal parta que o café não caia no chão. Logo, com a aplicação da peneira elétrica, o seu tamanho é dimensionada em relação a abertura da moega.  _x000a__x000a_---------_x000a__x000a_APROVAÇÃO _x000a_Pedro, por favor, pode verificar com algum técnico um protótipo ou pesquisar uma solução de mercado (a Verde equipamentos que você cita abaixo tem?). Precisamos de algum anexo e referência para providenciar sua solução. "/>
    <s v="Pedro Ferreira"/>
    <s v="Pequena mudança local"/>
    <x v="2"/>
    <x v="127"/>
    <x v="3"/>
    <d v="2025-10-29T09:17:01"/>
    <s v="Pedro Ferreira"/>
    <s v="IDEIAS-PROCESSOS"/>
    <m/>
    <s v="Resolvido"/>
    <x v="1"/>
    <m/>
  </r>
  <r>
    <s v="FB0104186"/>
    <s v="Novo ponto de CIL"/>
    <x v="1"/>
    <s v="Adicionar no CIL MEnsal das Fabrimas o ponto C de limpeza do sensor dos robôs com um pano seco (SEM USAR SABÃO) _x000a__x000a_IDEIA JÁ EXECUTADA"/>
    <s v="Bianca Silva"/>
    <s v="Pequena mudança local"/>
    <x v="4"/>
    <x v="128"/>
    <x v="0"/>
    <d v="2025-07-08T08:47:22"/>
    <m/>
    <s v="APROVADORES DE IDEIAS"/>
    <d v="2025-07-08T08:47:22"/>
    <s v="Fechado"/>
    <x v="1"/>
    <m/>
  </r>
  <r>
    <s v="FB0104288"/>
    <s v="Atualização no formulário da PKD "/>
    <x v="1"/>
    <s v="Adicionar uma parte de &quot;vibração&quot; em todos os silos que trocarem, ou seja, caso peguem algum café ruim consigamos controlar pela vibração e ver o que aconteceu (máquina ou moinho). "/>
    <s v="Bianca Silva"/>
    <s v="Pequena mudança local"/>
    <x v="4"/>
    <x v="129"/>
    <x v="1"/>
    <d v="2025-07-08T08:50:40"/>
    <s v="Bianca Silva"/>
    <s v="IDEIAS-VACUO"/>
    <d v="2025-07-08T08:50:40"/>
    <s v="Fechado"/>
    <x v="1"/>
    <m/>
  </r>
  <r>
    <s v="FB0104299"/>
    <s v="Funil de alimentação do quarteador de café verde"/>
    <x v="1"/>
    <s v="fazer um funil para jogar a amostra de café no quarteador sem precisar descer da plataforma da moega._x000a_melhora da condição ergonômica para jogar o café"/>
    <m/>
    <s v="Pequena mudança local"/>
    <x v="1"/>
    <x v="130"/>
    <x v="8"/>
    <d v="2025-04-05T06:42:13"/>
    <s v="Arthur Silva"/>
    <s v="IDEIAS-CAFÉ CRÚ"/>
    <d v="2025-04-05T06:42:13"/>
    <s v="Fechado"/>
    <x v="0"/>
    <m/>
  </r>
  <r>
    <s v="FB0104714"/>
    <s v="INSTALAR TOMADA 110V NO MOS ACADEMY, PARA CONECTAR TELEVISÃO E CAIXA DE SOM EM EVENTOS/ REUNIÕES."/>
    <x v="1"/>
    <s v="IDEIA_x000a_INSTALAR TOMADA 110V NO MOS ACADEMY, PARA CONECTAR TELEVISÃO E CAIXA DE SOM EM EVENTOS/ REUNIÕES._x000a__x000a_--------_x000a__x000a_APROVAÇÃO _x000a_Obrigada, Ana, pela ideia. Estou aprovando para seguirmos. Pedro, levantar com o Lucas Obrien os materiais e passar para o PCM na reunião de etiquetas. "/>
    <s v="Ana Pereira"/>
    <s v="Pequena mudança local"/>
    <x v="0"/>
    <x v="131"/>
    <x v="20"/>
    <d v="2025-06-16T11:04:01"/>
    <s v="Pedro Ferreira"/>
    <s v="IDEIAS-MELHORIA CONTÍNUA"/>
    <d v="2025-06-16T11:04:01"/>
    <s v="Fechado"/>
    <x v="1"/>
    <m/>
  </r>
  <r>
    <s v="FB0104724"/>
    <s v="elevador de canecas 1 e 3 está com vazamento de café"/>
    <x v="2"/>
    <s v="Falado com o mecânico de colocar uma chapa em baixo pra conter o vazamento ( soldar ela ali pro café não ficar caindo no chão) _x000a_Ou até fazer como ficou lá no elevador 2 troca a caixote deles "/>
    <s v="Alex Teixeira"/>
    <s v="Pequena mudança local"/>
    <x v="0"/>
    <x v="132"/>
    <x v="3"/>
    <d v="2026-06-15T13:44:52"/>
    <s v="Anderson Santana"/>
    <s v="IDEIAS-PROCESSOS"/>
    <m/>
    <s v="Resolvido"/>
    <x v="0"/>
    <m/>
  </r>
  <r>
    <s v="FB0104961"/>
    <s v="Melhorias Visuais - CIL PKD"/>
    <x v="1"/>
    <s v="Para facilitar a marcação no quadro de rotina diária (OPS1) de MOS poderia ser colocado no roda pé do CIL a quantidade de pontos de limpeza e inspeção e o tempo programado afim de garantir uma marcação real no quadro e agilizar o processo para que não haja necessidade de contagem diária pelos operadores "/>
    <s v="Patrick Pessoa"/>
    <s v="Pequena mudança local"/>
    <x v="0"/>
    <x v="133"/>
    <x v="1"/>
    <d v="2025-12-18T10:05:52"/>
    <s v="Bianca Silva"/>
    <s v="IDEIAS-VACUO"/>
    <d v="2025-12-18T10:05:52"/>
    <s v="Fechado"/>
    <x v="0"/>
    <m/>
  </r>
  <r>
    <s v="FB0105022"/>
    <s v="ligar coleiro "/>
    <x v="0"/>
    <s v="Domingo de star , quando for empacotar canaleta fechada  , poderia alinhar com a manutenção do segundo ,para ligar o coleiro , pois ele demora em média até 02:00 para aquecer por completo , e iniciando. Produção  muito tarde "/>
    <s v="Angela Santos"/>
    <s v="Pequena mudança local"/>
    <x v="4"/>
    <x v="134"/>
    <x v="5"/>
    <d v="2025-06-13T04:40:32"/>
    <s v="Leandro Freire"/>
    <s v="APROVADORES DE IDEIAS"/>
    <d v="2025-06-13T04:40:32"/>
    <s v="Cancelado"/>
    <x v="0"/>
    <m/>
  </r>
  <r>
    <s v="FB0105203"/>
    <s v="Troca de silo automática no silo de pó"/>
    <x v="3"/>
    <s v="Realizar a troca de silo sem a necessidade do operador, baseada na troca de silo do torrador em café crú._x000a_Com o sensor instalado no silo de pó acusando final de silo a troca seria automática para o próximo silo, seria como uma lista pré existente dos silos disponíveis, que seria alimentada pelo operador de moagem."/>
    <s v="Moises Costa"/>
    <s v="Pequena mudança local"/>
    <x v="4"/>
    <x v="135"/>
    <x v="0"/>
    <d v="2025-04-22T14:49:28"/>
    <s v="Igor Sousa"/>
    <s v="APROVADORES DE IDEIAS"/>
    <m/>
    <s v="Aguardando Validação"/>
    <x v="0"/>
    <m/>
  </r>
  <r>
    <s v="FB0105365"/>
    <s v="coletora de amostra de café em pó ( melhoria cada grão conta )"/>
    <x v="1"/>
    <s v="Ideia, Trazer a trava do café até o fim, assim  evitaria cair café no chão _x000a_Usar a mesma trava que já tem só adapta ela pra ficar na ponta agora _x000a_Ou usa a mesma trava que tem em baixo das densadora como na segunda imagem _x000a_"/>
    <s v="Alex Teixeira"/>
    <s v="Pequena mudança local"/>
    <x v="7"/>
    <x v="136"/>
    <x v="3"/>
    <d v="2026-01-14T15:17:51"/>
    <s v="Ricardo Nishida"/>
    <s v="IDEIAS-PROCESSOS"/>
    <d v="2026-01-14T15:17:51"/>
    <s v="Fechado"/>
    <x v="0"/>
    <m/>
  </r>
  <r>
    <s v="FB0106168"/>
    <s v="Acrescentar novo campo de informação "/>
    <x v="1"/>
    <s v="Acrescentar um novo campo de informação de operador com a informação._x000a_Operador PKD :_x000a_Operador Encaixotadora:_x000a_Pois  a revezamento entre os operadores , com podemos contratar melhor as informações de determinada máquina caso seja necessário "/>
    <s v="Patrick Pessoa"/>
    <s v="Pequena mudança local"/>
    <x v="0"/>
    <x v="137"/>
    <x v="1"/>
    <d v="2025-07-01T10:21:19"/>
    <s v="Moises Costa"/>
    <s v="IDEIAS-VACUO"/>
    <d v="2025-07-01T10:21:19"/>
    <s v="Fechado"/>
    <x v="0"/>
    <m/>
  </r>
  <r>
    <s v="FB0106189"/>
    <s v="DEMARCAÇÕES 5S"/>
    <x v="3"/>
    <s v="Em todos os pontos que for possível, realizar a pintura do chão, para evitar a necessidade de troca constante de fitas. _x000a__x000a_Verificar a possibilidade de comprar as formas e o Caluan realizar a pintura."/>
    <s v="Aline Fernandes"/>
    <s v="Pequena mudança local"/>
    <x v="0"/>
    <x v="138"/>
    <x v="16"/>
    <d v="2026-07-03T10:51:29"/>
    <s v="Aline Fernandes"/>
    <s v="APROVADORES DE IDEIAS"/>
    <m/>
    <s v="Aguardando Execução "/>
    <x v="1"/>
    <m/>
  </r>
  <r>
    <s v="FB0106228"/>
    <s v="a fita ."/>
    <x v="2"/>
    <s v="A fita está balançando ._x000a__x000a_RETORNO:_x000a_[LUZIA] Acredito que seja possível redirecionar a posição do ventilador antes de seguir com a análise da instalação do acrilico. Manufatura avaliar."/>
    <s v="Andre Campos"/>
    <s v="Pequena mudança local"/>
    <x v="0"/>
    <x v="139"/>
    <x v="1"/>
    <d v="2026-08-31T10:22:31"/>
    <s v="Ana Martins"/>
    <s v="APROVADORES DE IDEIAS"/>
    <m/>
    <s v="Resolvido"/>
    <x v="0"/>
    <m/>
  </r>
  <r>
    <s v="FB0106229"/>
    <s v="implementar fonte de energia tomada para os aspiradores de pó"/>
    <x v="1"/>
    <s v="Ter mais acessibilidade para os operadores realizar as atividades diárias de limpeza, como a utilização dos equipamentos fornecidos para nosso uso, facilitando nosso dia a dia como operação para a limpeza das Raumaks e acredito que na linha no geral, porque o aspirador não conecta em qualquer tipo de tomada."/>
    <m/>
    <s v="Pequena mudança local"/>
    <x v="0"/>
    <x v="140"/>
    <x v="7"/>
    <d v="2025-07-01T11:39:11"/>
    <m/>
    <s v="APROVADORES DE IDEIAS"/>
    <d v="2025-07-01T11:39:11"/>
    <s v="Fechado"/>
    <x v="0"/>
    <m/>
  </r>
  <r>
    <s v="FB0106337"/>
    <s v="Tomada na área da Raumak 04"/>
    <x v="1"/>
    <s v="Idea para a implementação de uma tomada propria para o aspirador de pó das Linhas 04 e 05 próximo à raumk. Pois atualmente não conseguimos usar o aspirador na raumak porque a tomada fica na fabrima._x000a__x000a_Impacto: Melhor limpeza da máquina e redução de falhas causadas por sujeria._x000a__x000a_Material necessário: Tomada de 20A e 50m cabo de 3 vias PP 2,5mm². _x000a__x000a_Mão obra: _x000a_-&gt; 08h x 2 eletrônicos para executar. Empacotametno parado - vai desligar o painel._x000a__x000a_Preferencialmente Jader pois ele já está alinhado da atividade."/>
    <s v="Isaias Macedo"/>
    <s v="Pequena mudança local"/>
    <x v="4"/>
    <x v="141"/>
    <x v="5"/>
    <d v="2025-07-01T09:42:11"/>
    <s v="Priscilla Araujo"/>
    <s v="APROVADORES DE IDEIAS"/>
    <d v="2025-07-01T09:42:11"/>
    <s v="Fechado"/>
    <x v="0"/>
    <m/>
  </r>
  <r>
    <s v="FB0106340"/>
    <s v="cil de consulta"/>
    <x v="3"/>
    <s v="Cil de consulta fixado na Raumak e fabrima (em uma bolsa, plastificado igual ao Centerlining da Fabrima)_x000a__x000a_Motivo: quando o operador chega no início do turno ele executa o CIL e neste momento o formulário do CIL está ou no container (para ser assinado) ou no com o controlador (para ser lançado). Com isso o operador não tem a clareza de todos pontos que precisa limpar naquele dia em específico a não ser que ele se recorde da programação completa (existem atividades que acontecem em alguns dias e turnos específicos)._x000a__x000a_"/>
    <s v="Bruna Santos"/>
    <s v="Pequena mudança local"/>
    <x v="0"/>
    <x v="142"/>
    <x v="7"/>
    <d v="2026-09-11T13:04:05"/>
    <s v="Valeria Yanez"/>
    <s v="APROVADORES DE IDEIAS"/>
    <m/>
    <s v="Aguardando Execução "/>
    <x v="0"/>
    <m/>
  </r>
  <r>
    <s v="FB0106357"/>
    <s v="troca fixação da mesa de revisão "/>
    <x v="1"/>
    <s v="Fazer troca de fixação da mesa de revisão de vácuo "/>
    <s v="Bruna Santos"/>
    <s v="Pequena mudança local"/>
    <x v="1"/>
    <x v="143"/>
    <x v="1"/>
    <d v="2025-10-30T09:05:24"/>
    <s v="Leandro Freire"/>
    <s v="IDEIAS-VACUO"/>
    <d v="2025-10-30T09:05:24"/>
    <s v="Fechado"/>
    <x v="0"/>
    <m/>
  </r>
  <r>
    <s v="FB0106416"/>
    <s v="Bandeja para retirada de cavaco."/>
    <x v="1"/>
    <s v="Solicito junto a She, manufatura,engenharia e manutenção uma melhoria para retirada de Cavaco, poderia ser uma bandeja com rodinhas para melhor manuseio na retirada do cavaco._x000a__x000a_Aguardo retorno para resolução do problema._x000a__x000a_PEDRO FERREIRA: Foi conversado com a manutenção e estamos aguardando orçamento"/>
    <s v="Michel Felipe da Silva Pio"/>
    <s v="Pequena mudança local"/>
    <x v="4"/>
    <x v="144"/>
    <x v="8"/>
    <d v="2025-09-05T11:27:10"/>
    <s v="Henrique Cardoso"/>
    <s v="IDEIAS-CAFÉ CRÚ"/>
    <d v="2025-09-05T11:27:10"/>
    <s v="Fechado"/>
    <x v="0"/>
    <m/>
  </r>
  <r>
    <s v="FB0106437"/>
    <s v="criar ponto superior de tomada para o ventilador"/>
    <x v="2"/>
    <s v="criar ponto superior de tomada para o ventilador, para eliminar cabo electric o no chão._x000a_a ideia é usar o suporte que se encontra na parede mais a frente, ele era usado para a seladora de fitas, antigo ponto de revisão de vácuo _x000a_"/>
    <s v="Weverton Medeiro"/>
    <s v="Pequena mudança local"/>
    <x v="1"/>
    <x v="145"/>
    <x v="7"/>
    <d v="2025-10-29T11:21:54"/>
    <s v="Ana Martins"/>
    <s v="APROVADORES DE IDEIAS"/>
    <m/>
    <s v="Resolvido"/>
    <x v="0"/>
    <m/>
  </r>
  <r>
    <s v="FB0106811"/>
    <s v="Baldes de Inox para rejeitos das peneiras"/>
    <x v="3"/>
    <s v="Ideia para baldes de inox para as peneiras da PKD,Fabrimas 2,3,4 e 5 visando padronização e melhoria na questão de limpeza._x000a_Atualmente os baldes não são padronizados e possuem vazamentos. Além do aspecto visual."/>
    <s v="Isaias Macedo"/>
    <s v="Pequena mudança local"/>
    <x v="3"/>
    <x v="146"/>
    <x v="0"/>
    <d v="2026-09-17T14:30:03"/>
    <s v="Flavia Silveira"/>
    <s v="APROVADORES DE IDEIAS"/>
    <m/>
    <s v="Aguardando Orçamento"/>
    <x v="0"/>
    <s v="CANCELADO"/>
  </r>
  <r>
    <s v="FB0106969"/>
    <s v="Sensor  troca de silo sonoro visual "/>
    <x v="1"/>
    <s v="Instalação de sensor para troca de silo nas fábrimas, igual ao instalado na PKD para não perdermos tanto tempo nas trocas de silo e levantarmos nosso GE, termos uma eficácia maior na nossa gestão durante nosso processo e em nossos turnos._x000a__x000a_Pedro Ferreira: _x000a__x000a_Ideia em execução, já foi comprado as sirenes e aguardamos a manutenção realizar a instalação. "/>
    <m/>
    <s v="Pequena mudança local"/>
    <x v="2"/>
    <x v="147"/>
    <x v="0"/>
    <d v="2025-10-03T11:29:54"/>
    <s v="Wallace Pereira"/>
    <s v="APROVADORES DE IDEIAS"/>
    <d v="2025-10-03T11:29:54"/>
    <s v="Fechado"/>
    <x v="0"/>
    <m/>
  </r>
  <r>
    <s v="FB0106983"/>
    <s v="ponto de tomada"/>
    <x v="0"/>
    <s v="Ponto de tomada para as limpezas dos moinhos durante a preventiva pois hoje precisa usar extensão, ponto de tomada fica longe e ponto de energia do moinho fica bloqueado no lototo_x000a__x000a_Não conseguimos fazer interno, necessário acionar Marzinho"/>
    <s v="Luiz H Silva"/>
    <s v="Pequena mudança local"/>
    <x v="0"/>
    <x v="148"/>
    <x v="3"/>
    <d v="2025-07-15T09:20:00"/>
    <m/>
    <s v="IDEIAS-PROCESSOS"/>
    <d v="2025-07-15T09:20:00"/>
    <s v="Cancelado"/>
    <x v="0"/>
    <m/>
  </r>
  <r>
    <s v="FB0106984"/>
    <s v="Sensor de presença "/>
    <x v="2"/>
    <s v="Coloca mais um sensor de presença para informar o nível das aparas no IHM, evitando que a máquina pare por excesso de aparas._x000a__x000a_Pedro Ferreira: Já existe um sensor, entretanto, esse sensor fica na tubulação para impedir que as aparas obstrua a máquina. Portanto, essa ideia será CANCELADA. "/>
    <s v="Vitor Xavier"/>
    <s v="Pequena mudança local"/>
    <x v="2"/>
    <x v="149"/>
    <x v="28"/>
    <d v="2025-07-14T11:29:48"/>
    <s v="Igor Sousa"/>
    <s v="IDEIAS-PROCESSOS"/>
    <m/>
    <s v="Resolvido"/>
    <x v="0"/>
    <m/>
  </r>
  <r>
    <s v="FB0106988"/>
    <s v="Peneira 1,2 e 3"/>
    <x v="1"/>
    <s v="Peneira 1,2 e 3, Ao fazer a inspeção das peneiras tem que levar varremesa,pá e vassoura, a minha ideia é que pudesse ter um quadro onde fica a vasssoura e a pá e os varremesa que nem no empacotamento, para facilitar ao levar pois facilitaria ao subir as escadas e segurar nos corrimãos "/>
    <s v="Emilly Silva"/>
    <s v="Pequena mudança local"/>
    <x v="1"/>
    <x v="150"/>
    <x v="27"/>
    <d v="2025-06-10T09:57:09"/>
    <s v="Aline Fernandes"/>
    <s v="IDEIAS-PROCESSOS"/>
    <d v="2025-06-10T09:57:09"/>
    <s v="Fechado"/>
    <x v="0"/>
    <m/>
  </r>
  <r>
    <s v="FB0106991"/>
    <s v="mentalidade de dono segurança por turno "/>
    <x v="0"/>
    <s v="A ideia é dar suporte de BOS por turno , EX : cada turno ter alguém para dar suporte em comportamento de segurança, onde às vezes uma pessoa pode acreditar que não tem ninguém fazendo observações ou até mesmo orientá-lo sobre segurança e de como realizá-lo com segurança, sobre IPs, _x000a_Ter uma pessoa específica para ser responsável pelo amadurecimento do time por inteiro de comportamento de segurança. _x000a__x000a_SHE: em relçação ao suporto do turno o proprio coordenador é capaz de orientar e o assistente está sendo treinado. As outras frentes o coordenador e o assistente pode contribuir tambem com este tema. Paralelamente temos o projeto Comportamento que esta na segunda onda onde estão sendo formados mais associados em relação a condução e aplicação do BOS de maneira mais assertiva. A operação participará na terceira onda."/>
    <s v="Angela Santos"/>
    <s v="Pequena mudança local"/>
    <x v="0"/>
    <x v="151"/>
    <x v="22"/>
    <d v="2025-06-17T10:50:00"/>
    <m/>
    <s v="IDEIAS-SHE"/>
    <d v="2025-06-17T10:50:01"/>
    <s v="Cancelado"/>
    <x v="0"/>
    <m/>
  </r>
  <r>
    <s v="FB0106993"/>
    <s v="pontos de CIL "/>
    <x v="2"/>
    <s v="Essa parte do CIL , sobre roletes não são feitas diariamente, e sim semanalmente ou quando ter paradas grandes  sobre os roletes ( poderia ser considerada)"/>
    <s v="Angela Santos"/>
    <s v="Pequena mudança local"/>
    <x v="4"/>
    <x v="152"/>
    <x v="7"/>
    <d v="2025-12-16T04:56:50"/>
    <s v="Bianca Silva"/>
    <s v="APROVADORES DE IDEIAS"/>
    <m/>
    <s v="Resolvido"/>
    <x v="0"/>
    <m/>
  </r>
  <r>
    <s v="FB0106994"/>
    <s v="cabeçote de impressão "/>
    <x v="2"/>
    <s v="Esssa parte não é feita uma limpeza diária e sim quando da problema no datador ou troca de borracha "/>
    <s v="Angela Santos"/>
    <s v="Pequena mudança local"/>
    <x v="4"/>
    <x v="153"/>
    <x v="7"/>
    <d v="2025-08-20T00:11:17"/>
    <s v="Bianca Silva"/>
    <s v="APROVADORES DE IDEIAS"/>
    <m/>
    <s v="Resolvido"/>
    <x v="0"/>
    <m/>
  </r>
  <r>
    <s v="FB0106995"/>
    <s v="elevador de fardos "/>
    <x v="0"/>
    <s v="Não é limpeza feita diária "/>
    <s v="Angela Santos"/>
    <s v="Pequena mudança local"/>
    <x v="2"/>
    <x v="154"/>
    <x v="7"/>
    <d v="2025-06-09T14:43:38"/>
    <m/>
    <s v="APROVADORES DE IDEIAS"/>
    <d v="2025-06-09T14:43:39"/>
    <s v="Cancelado"/>
    <x v="0"/>
    <m/>
  </r>
  <r>
    <s v="FB0106996"/>
    <s v="base do robô "/>
    <x v="0"/>
    <s v="Somente é feita a limpeza do robô na área do chão diária , a base somente final de mês pelo terceiro"/>
    <s v="Angela Santos"/>
    <s v="Pequena mudança local"/>
    <x v="3"/>
    <x v="155"/>
    <x v="7"/>
    <d v="2025-06-09T14:36:10"/>
    <m/>
    <s v="APROVADORES DE IDEIAS"/>
    <d v="2025-06-09T14:36:10"/>
    <s v="Cancelado"/>
    <x v="0"/>
    <m/>
  </r>
  <r>
    <s v="FB0107019"/>
    <s v="Peneira vibratória para moega de reprocesso da moagem"/>
    <x v="1"/>
    <s v="IDEIA _x000a__x000a_Utilizar uma peneira elétrica para peneirar o café na moega, isso vai fazer com que haja redução do tempo e melhoria no esforço do auxiliar/operador, visto que para esse processo requer tempo e uma peneira com tamanho ideal parta que o café não caia no chão. Logo, com a aplicação da peneira elétrica, o seu tamanho é dimensionada em relação a abertura da moega.  _x000a__x000a_---------_x000a__x000a_APROVAÇÃO _x000a_Pedro, por favor, pode verificar com algum técnico um protótipo ou pesquisar uma solução de mercado (a Verde equipamentos que você cita abaixo tem?). Precisamos de algum anexo e referência para providenciar sua solução. "/>
    <s v="Pedro Ferreira"/>
    <s v="Pequena mudança local"/>
    <x v="2"/>
    <x v="156"/>
    <x v="15"/>
    <d v="2025-10-09T13:52:56"/>
    <m/>
    <s v="IDEIAS-PROCESSOS"/>
    <d v="2025-10-09T13:52:56"/>
    <s v="Fechado"/>
    <x v="1"/>
    <m/>
  </r>
  <r>
    <s v="FB0107079"/>
    <s v="manômetro de pressão "/>
    <x v="1"/>
    <s v="Pressão do mordente baixo causando mordaça durante turnos ,foi acionado eletrônico para aumentar para 5 a pressão do manômetro, acrescentar inspeção e demarcação no centerling para evitar futuros problemas relacionado a isso_x000a__x000a_Relton: esse manômetro não se refere ao manômetro dos mordentes, esse manômetro da imagem e o ar comprimido que chega no equipamento e vai pra todos os componentes da máquina.  _x000a__x000a_o manômetro dos mordentes ja tem CL "/>
    <s v="Sara Lobato"/>
    <s v="Pequena mudança local"/>
    <x v="2"/>
    <x v="157"/>
    <x v="7"/>
    <d v="2025-10-15T08:20:39"/>
    <s v="Relton Moraes"/>
    <s v="APROVADORES DE IDEIAS"/>
    <d v="2025-10-15T08:20:39"/>
    <s v="Fechado"/>
    <x v="0"/>
    <m/>
  </r>
  <r>
    <s v="FB0107098"/>
    <s v="Uma das bombas de vácuo , desliga com frequência "/>
    <x v="1"/>
    <s v="A bomba de vácuo 01 desliga com frequência, causando risco de perda de vácuo,  o IHM deveria acusar para a máquina parar, mas isso não acontece. Minha sugestão é que talvez  colocar, uma sirene em cada bomba assim o operador visualiza quando a bomba der qualquer sinal._x000a__x000a_Pedro Ferreira: quando o disjuntor desarma ou ocorre alguma falha na bomba, já gera um alarme na IHM da PKD, porém, esse alarme só não aciona quando está desabilitada pelo operador. Portanto, a ideia será CANCELADA. Mas, favor verificar se o erro persiste, caso sim, poderia abrir uma etiqueta. "/>
    <s v="Romilda Cunha"/>
    <s v="Pequena mudança local"/>
    <x v="4"/>
    <x v="158"/>
    <x v="1"/>
    <d v="2025-07-23T11:17:45"/>
    <s v="Igor Sousa"/>
    <s v="IDEIAS-VACUO"/>
    <d v="2025-07-23T11:17:45"/>
    <s v="Fechado"/>
    <x v="0"/>
    <s v="CANCELADO"/>
  </r>
  <r>
    <s v="FB0107101"/>
    <s v="raspadores das peneiras rotativas  "/>
    <x v="2"/>
    <s v="Tentar fazer o corte no raspador menor para que possa ter  duas ou mais regulagem , antes da troca do mesmo._x000a__x000a_ANA MARTINS: Já estamos verificando a possibilidade de comprar a peça dos raspadores inteira para realizarmos os cortes aqui na manutenção."/>
    <s v="Daniel Madureira"/>
    <s v="Pequena mudança local"/>
    <x v="4"/>
    <x v="159"/>
    <x v="5"/>
    <d v="2025-09-30T11:02:52"/>
    <s v="Ana Martins"/>
    <s v="APROVADORES DE IDEIAS"/>
    <m/>
    <s v="Resolvido"/>
    <x v="0"/>
    <m/>
  </r>
  <r>
    <s v="FB0107106"/>
    <s v="Banco de Dados de Projetos"/>
    <x v="1"/>
    <s v="Criar um banco de dados de projetos para que se tenha informações de projetos anteriores que forma considerados inviáveis no momento, mas que tem informções importates para novos projetos._x000a__x000a_RETORNO:_x000a_[LUZIA] Criamos o cadastro de projetos de 2025 e todos os projetos cadastrados serão alocados em uma pasta no sharepoint da planta para consolidação de informações sobre o mesmo. Acredito que já seja um início de construção deste banco que poderá ter melhorias futuras."/>
    <s v="Tiago Carvalho"/>
    <s v="Pequena mudança local"/>
    <x v="0"/>
    <x v="160"/>
    <x v="20"/>
    <d v="2026-03-13T18:32:31"/>
    <s v="Giovanna Biffaratte"/>
    <s v="IDEIAS-MELHORIA CONTÍNUA"/>
    <d v="2026-03-13T18:32:31"/>
    <s v="Fechado"/>
    <x v="1"/>
    <m/>
  </r>
  <r>
    <s v="FB0107553"/>
    <s v="Melhoria grade de proteção fabrima 2"/>
    <x v="1"/>
    <s v="Fazer mudança na grade de proteção para que o associado não precise sair com o corpo para fora para colocar a etiqueta do palete no pregador, correndo o risco de atropelamento._x000a__x000a_-----_x000a__x000a_APROVAÇÃO: _x000a__x000a_Aprovação de manutenção e SHE, dessa forma, a parte de cortar a grande é possível realizar mais rapidamente._x000a_ _x000a_Entretanto, a segunda parte, no robô da PKD, manutenção disse que vai estudar a melhor forma de resolver a solicitação. _x000a_-Pedro Ferreira: Ideia já orçada e aguardando PADRIMAX parta execução._x000a_ "/>
    <s v="Fabio S Santos"/>
    <s v="Pequena mudança local"/>
    <x v="1"/>
    <x v="161"/>
    <x v="10"/>
    <d v="2025-06-09T16:07:23"/>
    <s v="Fabio A Oliveira"/>
    <s v="IDEIAS-LOGÍSTICA"/>
    <d v="2025-06-09T16:07:23"/>
    <s v="Fechado"/>
    <x v="0"/>
    <m/>
  </r>
  <r>
    <s v="FB0107583"/>
    <s v="Escaninho para folhas de papel área de revisão "/>
    <x v="1"/>
    <s v="Colocar um escaninho de papel, afim de guardar as folhas de revisão dos retorno de paletes, assim podendo reaproveitar as folhas eliminando desperdício e melhora no controle de limpeza da área "/>
    <s v="Mauricio Ferreira"/>
    <s v="Pequena mudança local"/>
    <x v="0"/>
    <x v="162"/>
    <x v="10"/>
    <d v="2025-06-27T10:33:15"/>
    <s v="Fabio A Oliveira"/>
    <s v="IDEIAS-LOGÍSTICA"/>
    <d v="2025-06-27T10:33:15"/>
    <s v="Fechado"/>
    <x v="0"/>
    <m/>
  </r>
  <r>
    <s v="FB0107755"/>
    <s v="mordente de selagem "/>
    <x v="3"/>
    <s v="Acrescentar uma pequena asa de ferro na lateral dos mordentes para facilitar a remoção durante as trocas de produto,não sendo mais necessário o uso de ferramentas como martelo e chave de fenda que por sua vez pode danificar as peças "/>
    <s v="Carlos Souza"/>
    <s v="Pequena mudança local"/>
    <x v="4"/>
    <x v="163"/>
    <x v="7"/>
    <d v="2026-08-10T14:05:03"/>
    <s v="Anderson Santana"/>
    <s v="APROVADORES DE IDEIAS"/>
    <m/>
    <s v="Aguardando Orçamento"/>
    <x v="0"/>
    <m/>
  </r>
  <r>
    <s v="FB0107938"/>
    <s v="emplilhadeira para virar tambor "/>
    <x v="0"/>
    <s v="É necessário uma empilhadeira que vira os tambores de detector de metal e do regeito do distribuidor… pois é muito pesado para uma pessoa virar na caçamba sozinha podendo até  causar problemas na coluna.. com a empilhadeira facilitava o trabalho que nem sempre tem duas pessoas pra ir virar os baldes na caçamba _x000a_09/09 - Precisa de apoio de SHE para validar a ideias_x000a_segue vídeo da sugestão: https://www.youtube.com/watch?v=8scg3cuB9ZU_x000a__x000a_Pedro Ferreira: Na visão de CI, é uma ótima ideia e importante, precisamos apenas do orçamento de onde podemos encontrar esse tipo de carrinho, ou adaptação. Pessoal de SHE comprou carrinhos parecido, poderia verificar com a empresa se eles produzem esse tipo de carrinho também. _x000a_"/>
    <m/>
    <s v="Pequena mudança local"/>
    <x v="1"/>
    <x v="164"/>
    <x v="22"/>
    <d v="2026-05-13T15:02:49"/>
    <m/>
    <s v="IDEIAS-SHE"/>
    <d v="2026-05-13T15:02:49"/>
    <s v="Cancelado"/>
    <x v="0"/>
    <m/>
  </r>
  <r>
    <s v="FB0107942"/>
    <s v="Aumento do suporte dos eixos expansivos "/>
    <x v="2"/>
    <s v="Aumentar o suporte do eixo expansivo para que consiga colocar os dois eixos reserva e também a bobina strech _x000a_ANA MARTINS: Passar para o Cleiton executar."/>
    <s v="Relton Moraes"/>
    <s v="Pequena mudança local"/>
    <x v="2"/>
    <x v="165"/>
    <x v="0"/>
    <d v="2026-04-13T10:16:01"/>
    <s v="Lucas Carvalho"/>
    <s v="APROVADORES DE IDEIAS"/>
    <m/>
    <s v="Resolvido"/>
    <x v="1"/>
    <m/>
  </r>
  <r>
    <s v="FB0108243"/>
    <s v="Grade de proteção área PKD"/>
    <x v="2"/>
    <s v="Grade com pontas para cima, risco de lesões no braço do associado. _x000a_Apenas precisa ser virada para que assim elimine o risco de lesão do associado._x000a__x000a_-APROVAÇÃO: _x000a__x000a_Orçamento em anexo no valor de R$ 567,00_x000a_"/>
    <s v="Fabio S Santos"/>
    <s v="Pequena mudança local"/>
    <x v="1"/>
    <x v="166"/>
    <x v="10"/>
    <d v="2026-09-17T13:50:52"/>
    <s v="Jhonnathan Pereira"/>
    <s v="APROVADORES DE IDEIAS"/>
    <m/>
    <s v="Aguardando Execução "/>
    <x v="0"/>
    <m/>
  </r>
  <r>
    <s v="FB0108920"/>
    <s v="Página Sumário de Ferramentas de Auditorias"/>
    <x v="1"/>
    <s v="Criar uma pagina no SharePoint com os links de todos os Forms que usamos na fábrica para fazer auditorias. Por exemplo: Helth Check, Complition&amp;Complice"/>
    <s v="Tiago Carvalho"/>
    <s v="Pequena mudança local"/>
    <x v="0"/>
    <x v="167"/>
    <x v="20"/>
    <d v="2026-05-28T12:13:05"/>
    <s v="Luzia Rodrigues"/>
    <s v="IDEIAS-MELHORIA CONTÍNUA"/>
    <d v="2026-05-28T12:13:05"/>
    <s v="Fechado"/>
    <x v="1"/>
    <m/>
  </r>
  <r>
    <s v="FB0109063"/>
    <s v="LEITE QUENTE"/>
    <x v="1"/>
    <s v="Ver a possibilidade de providenciar leite quente durante a temporada de frio. Deixando em anexo a foto de uma garrafa térmica, que seria interessante para essa ocasião. _x000a__x000a_OBS: Valor está considerando 2 unidades da garrafa, devido a necessidade da padaria, ter que levar uma para lavar e deixar a outra com leite aqui. "/>
    <s v="Aline Fernandes"/>
    <s v="Pequena mudança local"/>
    <x v="0"/>
    <x v="168"/>
    <x v="29"/>
    <d v="2025-06-04T09:35:44"/>
    <s v="Ana Pereira"/>
    <s v="IDEIAS-ADMINISTRATIVO"/>
    <d v="2025-06-04T09:35:44"/>
    <s v="Fechado"/>
    <x v="1"/>
    <m/>
  </r>
  <r>
    <s v="FB0109102"/>
    <s v="Sinalizador Luminoso para esvaziamento de silos"/>
    <x v="1"/>
    <s v="Instalar sinalizadores luminosos para esvaziamento de silos, desse forma, seria um para fabrima 04 e 05, visto que essa puxam café do mesmos silos, e uma paras fabrimas 02 e 03. Portanto, é para fazer semelhante o que foi feito na PKD, porém, a função dessa seria apenas alertar os operadores do esgotamento dos silos. "/>
    <s v="Pedro Ferreira"/>
    <s v="Pequena mudança local"/>
    <x v="2"/>
    <x v="169"/>
    <x v="3"/>
    <d v="2025-10-03T11:28:34"/>
    <s v="Wallace Pereira"/>
    <s v="IDEIAS-PROCESSOS"/>
    <d v="2025-10-03T11:28:34"/>
    <s v="Fechado"/>
    <x v="1"/>
    <m/>
  </r>
  <r>
    <s v="FB0109290"/>
    <s v="Abertura de uma “porta” de vazão para água e sujidades ao lavar câmaras de torras e esfriamento. "/>
    <x v="3"/>
    <s v="Abertura de uma “porta” de vazão para água e sujidades no berço da rosca plana de torrado, para ajudar na lavagem das câmaras de torra e esfriamento, devido a local de difícil acesso para limpar as roscas, além de eliminar a contaminação das roscas ao arrastar sujidades da lavagem para poder retirar mais à frente da rosca no despedrador. Com as portas novas essa sujidade desceria direto para a bandeja sem contaminar a rosca plana/inclinada e despedrador, pois mesmo após a passar torras de limpeza essa sujidade não é removida 100%, deixando também um mal cheiro muito forte no sistema podendo ser absorvido pelo café ao retornar com as torras normalmente. _x000a__x000a_SHE: do ponto de vista de segurança não vemos problema na instalação da tampa. Porem esta tampa deve ser parafusada e quando houver limpeza a rosca e o sistema deve estar bloqueados. Durante a instalação avaliaremos a necessidade de aplicação de LOTOTO."/>
    <s v="Gean Silva"/>
    <s v="Pequena mudança local"/>
    <x v="3"/>
    <x v="170"/>
    <x v="2"/>
    <d v="2026-01-29T14:05:07"/>
    <s v="Rubens Teixeira"/>
    <s v="IDEIAS-PROCESSOS"/>
    <m/>
    <s v="Aguardando Orçamento"/>
    <x v="0"/>
    <m/>
  </r>
  <r>
    <s v="FB0109361"/>
    <s v="centerling PKD - modificações"/>
    <x v="1"/>
    <s v="&gt; alimentação do filme caneladores -&gt; adicionar marcação amarela pois é recurso de ajuste em caso de encanoamento. necessário anotar no comentário a identificação da bobina com encantamento._x000a_&gt; entrada de material - pentes de formação &gt;&gt; alterar para distância e alinhamento dos pentes _x000a_&gt; formação do pacote - mesa de alimentação &gt;&gt; necessário fazer range de faixa verde e atualizar a foto do monitoramento _x000a_&gt; socadores- 174 = máquina não permite_x000a_&gt; vibração &lt;30% = desligado_x000a_&gt; roda mandril - manômetro pressão do mordente  = trocar manômetro pois não dá para ler_x000a__x000a_qualquer dúvida favor me procurar "/>
    <m/>
    <s v="Pequena mudança local"/>
    <x v="2"/>
    <x v="171"/>
    <x v="1"/>
    <d v="2025-10-29T13:14:52"/>
    <s v="Moises Costa"/>
    <s v="IDEIAS-VACUO"/>
    <d v="2025-10-29T13:14:52"/>
    <s v="Fechado"/>
    <x v="0"/>
    <s v="CANCELADO"/>
  </r>
  <r>
    <s v="FB0109815"/>
    <s v="Alteração CIL "/>
    <x v="1"/>
    <s v="Visto pela operadora, em uma troca de teflons do conjunto de selagem dos mordentes horizontais, traseiro e dianteiro, há necessidade da troca dos teflons, troca das borrachas de selagem (caso seja necessário) e do níquel cromo (caso seja necessário). _x000a_Como uma ação no *Mentalidade de Dono* sugeri que ao invés dessa troca ser somente mensal fazer alteração no CIL a cada 15 dias ."/>
    <s v="Lais Silveira"/>
    <s v="Pequena mudança local"/>
    <x v="2"/>
    <x v="172"/>
    <x v="0"/>
    <d v="2025-11-05T08:51:41"/>
    <s v="Bianca Silva"/>
    <s v="APROVADORES DE IDEIAS"/>
    <d v="2025-11-05T08:51:41"/>
    <s v="Fechado"/>
    <x v="0"/>
    <m/>
  </r>
  <r>
    <s v="FB0109864"/>
    <s v="Layout Tablet "/>
    <x v="1"/>
    <s v="Colocar uma aba no campo de filtro do DMOS de forma que as BDAS  E TAREFAS DA ÁREA FIQUEM SEPARADAS das Etiquetas  para melhor visibilidade nas reuniões._x000a__x000a_Retorno:_x000a_29/10/2025 - Melhoria aberta para o time global: FB0125968"/>
    <s v="Patrick Pessoa"/>
    <s v="Pequena mudança local"/>
    <x v="0"/>
    <x v="173"/>
    <x v="1"/>
    <d v="2026-08-12T09:14:35"/>
    <s v="Luzia Rodrigues"/>
    <s v="APROVADORES DE IDEIAS"/>
    <d v="2026-08-12T09:14:35"/>
    <s v="Fechado"/>
    <x v="0"/>
    <m/>
  </r>
  <r>
    <s v="FB0110022"/>
    <s v="Organização nas prateleiras do almoxarifado "/>
    <x v="0"/>
    <s v="Realizar a compra com caixas organizadoras e bacias de contenção para que possamos organizar nossos estoque de itens do almoxarifado ( EPIs, materiais de escritórios, saco de lixo etc)"/>
    <s v="Joelma Inone"/>
    <s v="Pequena mudança local"/>
    <x v="0"/>
    <x v="174"/>
    <x v="4"/>
    <d v="2025-06-10T10:45:00"/>
    <m/>
    <s v="IDEIAS-CAFÉ CRÚ"/>
    <d v="2025-06-10T10:45:00"/>
    <s v="Cancelado"/>
    <x v="0"/>
    <m/>
  </r>
  <r>
    <s v="FB0110023"/>
    <s v="portas nos armários do almoxerifado"/>
    <x v="0"/>
    <s v="Colocar portas nos armários do almoxarifado facilitando os almoxarifes no controle de itens menos divergência  e colocando cadeados em_x000a_Todos os armários "/>
    <s v="Joelma Inone"/>
    <s v="Pequena mudança local"/>
    <x v="0"/>
    <x v="175"/>
    <x v="4"/>
    <d v="2025-06-04T11:25:34"/>
    <m/>
    <s v="IDEIAS-CAFÉ CRÚ"/>
    <d v="2025-06-04T11:25:34"/>
    <s v="Cancelado"/>
    <x v="0"/>
    <m/>
  </r>
  <r>
    <s v="FB0110024"/>
    <s v="Fazer nos armários do almoxarifado listas em cada armário com os itens"/>
    <x v="0"/>
    <s v="Fazer listas nas portas dos armários com códigos e nomes nos armários assim facilitando na procura dos itens e já ir direto no item desejado com folhas plastificadas "/>
    <s v="Joelma Inone"/>
    <s v="Pequena mudança local"/>
    <x v="0"/>
    <x v="176"/>
    <x v="4"/>
    <d v="2025-06-10T10:36:52"/>
    <m/>
    <s v="IDEIAS-CAFÉ CRÚ"/>
    <d v="2025-06-10T10:36:52"/>
    <s v="Cancelado"/>
    <x v="0"/>
    <m/>
  </r>
  <r>
    <s v="FB0110262"/>
    <s v="Aspirador de Pó PKD"/>
    <x v="1"/>
    <s v="Realizar a aquisição de um novo Aspirador de pó , para que os dois operadores possam aspirar a PKD ._x000a_Essa solicitação veio por meio da mudança no formato na limpeza onde foi banido o uso de Ar Comprimido._x000a_E também com dois Aspiradores pode fazer mudanças no CIL incluindo a parte de traz da PKD uma vez na semana para realizar a limpeza e aspiração._x000a__x000a_OBS : A limpeza da encaixotadora é possível ser realizada durante o carregamento da esteira Alpino  pós o início de produção. Da PKD_x000a_OBS : A instalação de um ponto para a guarda do mesmo onde possam ficar trancados de forma que não são retirados os componentes com mangueira e bicos."/>
    <s v="Patrick Pessoa"/>
    <s v="Pequena mudança local"/>
    <x v="4"/>
    <x v="177"/>
    <x v="1"/>
    <d v="2025-07-07T14:11:16"/>
    <m/>
    <s v="IDEIAS-VACUO"/>
    <d v="2025-07-07T14:11:16"/>
    <s v="Fechado"/>
    <x v="0"/>
    <m/>
  </r>
  <r>
    <s v="FB0110423"/>
    <s v="tampar partes abertas das fabrimas"/>
    <x v="0"/>
    <s v="Tampar partes abertas das fabrimas,para diminuir sujeira _x000a_"/>
    <s v="Carlos Souza"/>
    <s v="Pequena mudança local"/>
    <x v="3"/>
    <x v="178"/>
    <x v="7"/>
    <d v="2025-06-09T14:38:08"/>
    <m/>
    <s v="APROVADORES DE IDEIAS"/>
    <d v="2025-06-09T14:38:08"/>
    <s v="Cancelado"/>
    <x v="0"/>
    <m/>
  </r>
  <r>
    <s v="FB0110541"/>
    <s v="Limitador de Parada "/>
    <x v="2"/>
    <s v="Realizar a colocação de um batente fixado ao solo de modo que as gaiolas de  descartes não colide com a tela de  limitação para que não haja estragos na tela como representa a foto acima _x000a__x000a_SHE: reprovado. Se esta batendo é porque não estão controlando a velocidade das gaiolas."/>
    <s v="Patrick Pessoa"/>
    <s v="Pequena mudança local"/>
    <x v="1"/>
    <x v="179"/>
    <x v="1"/>
    <d v="2025-09-12T09:49:33"/>
    <s v="Pedro Ferreira"/>
    <s v="IDEIAS-VACUO"/>
    <m/>
    <s v="Resolvido"/>
    <x v="0"/>
    <m/>
  </r>
  <r>
    <s v="FB0110544"/>
    <s v="necessário um auxiliar para fazer limpeza de preventiva ou travamento da máquina "/>
    <x v="0"/>
    <s v="Durante os dias normais mantenha o auxiliar nas linhas do empacotamento , mas quando necessário limpeza dos moinhos deslocar para ajudar o operador ,muito difícil operador fazer análises ter precisão de identificar anomalia do café , rapidez de identificar final de silo , inicia silos ,e as análise de 30 minuto e lavagem das peneira para próximas análise da moagem e controladora e ter que limpar moinho em dias específico e garantir a qualidade do café dentro do padrão de qualidade "/>
    <s v="Julho Silva"/>
    <s v="Pequena mudança local"/>
    <x v="0"/>
    <x v="180"/>
    <x v="3"/>
    <d v="2025-07-15T10:31:14"/>
    <m/>
    <s v="IDEIAS-PROCESSOS"/>
    <d v="2025-07-15T10:31:14"/>
    <s v="Cancelado"/>
    <x v="0"/>
    <m/>
  </r>
  <r>
    <s v="FB0110549"/>
    <s v="o silo de dosagem "/>
    <x v="0"/>
    <s v="O silo que era exclusivo para a máquina de grão ,está sendo inutilizado na fabricar , aproveitar que está com a estrutura montada fazer ele exclusivo para reprocesso que possa introduzir em todos os silos de pó , a desmontagem dele geraria um gasto e sendo que nosso processo gerar não conformidade por diversas razão ,aproveitando a estrutura deixando o silo exclusivo para reprocesso de linha e outras não conformidade que processo gerar , tendo assim não atraso na linha não parada por silo cheio e trocas de inversor. "/>
    <s v="Julho Silva"/>
    <s v="Pequena mudança local"/>
    <x v="3"/>
    <x v="181"/>
    <x v="3"/>
    <d v="2025-06-09T16:01:54"/>
    <s v="Moises Costa"/>
    <s v="IDEIAS-PROCESSOS"/>
    <d v="2025-06-09T16:01:54"/>
    <s v="Cancelado"/>
    <x v="0"/>
    <m/>
  </r>
  <r>
    <s v="FB0110676"/>
    <s v="Compra de micrômetro."/>
    <x v="2"/>
    <s v="Foi discutido em reunião, após a reunião de comunicação, a compra de um micrômetro para a aferição da espessura do filme de embalagem. _x000a_Com essa aferição podemos descartar umas das maiores hipótese da bobina não “rodar”, que é a “essa embalagem está mais fina”._x000a__x000a_Pedro Ferreira:_x000a__x000a_Necessário que faça orçamento e passe para CI gerar o pedido de compra. "/>
    <s v="Douglas Destefani"/>
    <s v="Pequena mudança local"/>
    <x v="3"/>
    <x v="182"/>
    <x v="6"/>
    <d v="2026-09-11T13:18:11"/>
    <s v="Tais Costa"/>
    <s v="APROVADORES DE IDEIAS"/>
    <m/>
    <s v="Resolvido"/>
    <x v="0"/>
    <m/>
  </r>
  <r>
    <s v="FB0110684"/>
    <s v="Duas rodinhas fixas e duas moveis, facilitar na locomoção "/>
    <x v="1"/>
    <s v="Tocar duas rodinhas do aparelho de análise de granulometria de Cavaco, para ficar duas fixas e duas moveis, irá facilitar na locomoção do mesmo"/>
    <s v="Camila Silva"/>
    <s v="Pequena mudança local"/>
    <x v="2"/>
    <x v="183"/>
    <x v="20"/>
    <d v="2025-07-02T08:20:53"/>
    <s v="Caique Ventura"/>
    <s v="IDEIAS-MELHORIA CONTÍNUA"/>
    <d v="2025-07-02T08:20:53"/>
    <s v="Fechado"/>
    <x v="0"/>
    <m/>
  </r>
  <r>
    <s v="FB0110718"/>
    <s v="fazer um app pra substituir o relatório dos ímãs "/>
    <x v="2"/>
    <s v="A ideia é facilitar o preenchimento, ajudar em caso de desvio no turno assim quanto no anterior, seria bom se nele tiver como tirar foto pra deixar mais fácil de resolver qualquer desvio, podendo facilitar a rastreabilidade do processo em caso de desvio, cada op com seu login, "/>
    <s v="Alex Teixeira"/>
    <s v="Pequena mudança local"/>
    <x v="3"/>
    <x v="184"/>
    <x v="3"/>
    <d v="2026-04-23T09:13:38"/>
    <s v="Ruth Ribeiro"/>
    <s v="IDEIAS-PROCESSOS"/>
    <m/>
    <s v="Resolvido"/>
    <x v="0"/>
    <m/>
  </r>
  <r>
    <s v="FB0110830"/>
    <s v="Balança na área do empacotamento almofada."/>
    <x v="3"/>
    <s v="Colocar uma balança na área de empacotamento almofada, para facilitar a pesagem, para os operadores de fabrima, hoje, eles tem que dar uma volta muito grande, para realizar esta tarefa, acredito que se tiver uma balança na área de almofada, será um incentivo para a realização da tarefa._x000a__x000a_Relton: ideia aprovada, visto que realmente tem a necessidade de uma balança mais próxima das almofadas para pesas bobinas de RO"/>
    <s v="Camila Silva"/>
    <s v="Pequena mudança local"/>
    <x v="2"/>
    <x v="185"/>
    <x v="5"/>
    <d v="2025-07-09T11:22:18"/>
    <s v="Moises Costa"/>
    <s v="APROVADORES DE IDEIAS"/>
    <m/>
    <s v="Aguardando Aprovação de CAPEX"/>
    <x v="0"/>
    <m/>
  </r>
  <r>
    <s v="FB0110832"/>
    <s v="Caçamba na área do empacotamento almofada"/>
    <x v="3"/>
    <s v="Colocar uma caçamba na área do empacotamento fabrima. Hoje os operadores tem que dar uma volta muito grande para descartar os resíduos orgânicos, o que é ergonomicamente inviável, pois os carrinhos são baixos, e a distância é longa. Se colocar uma balança ao lado da caçamba, será melhor ainda, pois incentivaremos a pesagem do descarte, melhorando a acuracidade, para o o fluxo de apontamento do CADA GRÃO CONTA."/>
    <s v="Camila Silva"/>
    <s v="Pequena mudança local"/>
    <x v="2"/>
    <x v="186"/>
    <x v="0"/>
    <d v="2026-05-28T09:41:27"/>
    <s v="Flavia Silveira"/>
    <s v="APROVADORES DE IDEIAS"/>
    <m/>
    <s v="Aguardando Aprovação de CAPEX"/>
    <x v="0"/>
    <m/>
  </r>
  <r>
    <s v="FB0110844"/>
    <s v="ASPIRADOR PORTÁTIL"/>
    <x v="2"/>
    <s v="Aquisição de um aspirador portátil, para limpeza dos moinhos e assim realizar o reaproveitamento de café que fica acumulado nos rolos e nas portas._x000a__x000a_Participantes da ideia: Aline, Ricardo e Caique._x000a__x000a_HIAGO: Aprovado. Validar solução com qualidade."/>
    <s v="Aline Fernandes"/>
    <s v="Pequena mudança local"/>
    <x v="7"/>
    <x v="187"/>
    <x v="3"/>
    <d v="2025-11-03T13:43:25"/>
    <s v="Angelina Destefani"/>
    <s v="IDEIAS-PROCESSOS"/>
    <m/>
    <s v="Resolvido"/>
    <x v="1"/>
    <m/>
  </r>
  <r>
    <s v="FB0110895"/>
    <s v="Modificação CL"/>
    <x v="1"/>
    <s v="Implementar no CIL a inspeção das borrachas ou troca caso necessário retirando do CL . Visto que ela faz parte do conjunto de selagem dos fardos da Raumak como sugerido em outra ideia, fazer a troca das borrachas se necessário for a cada 15 dias juntamente com os teflons de selagem dos mordentes traseiros e dianteiros. "/>
    <s v="Lais Silveira"/>
    <s v="Pequena mudança local"/>
    <x v="4"/>
    <x v="188"/>
    <x v="0"/>
    <d v="2025-12-02T09:33:02"/>
    <s v="Moises Costa"/>
    <s v="APROVADORES DE IDEIAS"/>
    <d v="2025-12-02T09:33:02"/>
    <s v="Fechado"/>
    <x v="0"/>
    <m/>
  </r>
  <r>
    <s v="FB0110970"/>
    <s v="CGC - Cada Grão Conta"/>
    <x v="2"/>
    <s v="Inserir no CGC (Cada Grão Conta) as embalagens de reprocesso._x000a_HIAGO: Caique Verificar se já está incluido no FORMS, por favor"/>
    <s v="Lais Silveira"/>
    <s v="Pequena mudança local"/>
    <x v="4"/>
    <x v="189"/>
    <x v="3"/>
    <d v="2026-09-11T13:27:34"/>
    <s v="Caique Ventura"/>
    <s v="APROVADORES DE IDEIAS"/>
    <m/>
    <s v="Resolvido"/>
    <x v="0"/>
    <m/>
  </r>
  <r>
    <s v="FB0111197"/>
    <s v="IMPLANTAÇÃO MRP - ALMOXARIFADO (PROJETO)"/>
    <x v="1"/>
    <s v="Parametrizar para o nosso almoxarifado a MRP, para que tenhamos um melhor controle do nosso estoque. _x000a_Além da parametrização do SAP, será realizado dentro do escopo do projeto: _x000a_- Fechamento das prateleiras, para controle de acesso._x000a_- 5S na organização, compras de caixas organizadora e bacias de contenção._x000a_- Identificação dos itens armazenados, com códigos e nomes._x000a_- Ficha externa/espelho com os itens que vão estar dentro do armário, assim facilitando a identificação, sem precisar realizar a abertura do armário._x000a_- Automatização de conferência de NFs na FBL1N, através de script._x000a_- Alinhamentos com time de compras, quanto ao prazo de correção de divergências + planilha de controle compartilhada._x000a_Time do projeto: Aline, Caique V, Camila S, Joelma e Henrique._x000a__x000a_Projeto está em andamento desde de 10/03_x000a_"/>
    <s v="Aline Fernandes"/>
    <s v="Pequena mudança local"/>
    <x v="0"/>
    <x v="190"/>
    <x v="4"/>
    <d v="2026-01-13T08:51:10"/>
    <s v="Aline Fernandes"/>
    <s v="IDEIAS-CAFÉ CRÚ"/>
    <d v="2026-01-13T08:51:10"/>
    <s v="Fechado"/>
    <x v="1"/>
    <m/>
  </r>
  <r>
    <s v="FB0111369"/>
    <s v="Uso de escada Para saída segura de carretas "/>
    <x v="0"/>
    <s v="Propor a adoção de uma escada tipo marinheiro com uns 4 degrau mais o menos para auxiliar a saída de pessoas de dentro._x000a_Atualmente, ao finalizar as descarga é comum os associados saltarem para sair do compartimento, essa prática representa um risco de acidentes, como torções, lesões nos membros."/>
    <s v="Edvaldo Silva"/>
    <s v="Pequena mudança local"/>
    <x v="1"/>
    <x v="191"/>
    <x v="8"/>
    <d v="2025-06-12T11:30:44"/>
    <m/>
    <s v="IDEIAS-CAFÉ CRÚ"/>
    <d v="2025-06-12T11:30:44"/>
    <s v="Cancelado"/>
    <x v="0"/>
    <m/>
  </r>
  <r>
    <s v="FB0111453"/>
    <s v="Atualização CIL"/>
    <x v="1"/>
    <s v="Tem um campo de limpeza e inspeção que seria a base do robô que e é realizado uma vez por semana, a ideia e dividir a limpeza colocar ela diária e a inspeção uma vez por semana, para garantir a limpeza próximo ao coleiro visto que já temos problemas relacionado ao coleiro devido a sugidade"/>
    <s v="Moises Costa"/>
    <s v="Pequena mudança local"/>
    <x v="4"/>
    <x v="192"/>
    <x v="0"/>
    <d v="2025-11-05T08:51:25"/>
    <s v="Bianca Silva"/>
    <s v="APROVADORES DE IDEIAS"/>
    <d v="2025-11-05T08:51:25"/>
    <s v="Fechado"/>
    <x v="0"/>
    <m/>
  </r>
  <r>
    <s v="FB0111454"/>
    <s v="Adicionar coleiro no programa de capacitação "/>
    <x v="1"/>
    <s v="Adicionar coleiro no programa de capacitação "/>
    <s v="Moises Costa"/>
    <s v="Pequena mudança local"/>
    <x v="4"/>
    <x v="193"/>
    <x v="20"/>
    <d v="2025-06-17T15:45:48"/>
    <s v="Luzia Rodrigues"/>
    <s v="IDEIAS-MELHORIA CONTÍNUA"/>
    <d v="2025-06-17T15:45:48"/>
    <s v="Fechado"/>
    <x v="0"/>
    <m/>
  </r>
  <r>
    <s v="FB0111504"/>
    <s v="manutenção preventiva no robô "/>
    <x v="2"/>
    <s v="O robô da muitas  falhas , onde a operação do entra e reseta ou faz os ajuste básicos , mas nada que possa resolver os problemas raiz , é sempre acontece os as mesmas paradas , incluindo uma preventiva mensal , pode ser que melhore a performance do robô EX: pallet não expulsa -robô travando na  hora d pegar outro pallet - não expulsando o pallet completo e a operação tem que entrar e empurrar com esforço físico , são alguns dos problemas mais recorrentes _x000a__x000a_Manutenção: sobre esta ação o Andre Mendes (confiabilidade) esta montando todos os planos preventivos para inserir no program SAP."/>
    <s v="Angela Santos"/>
    <s v="Pequena mudança local"/>
    <x v="4"/>
    <x v="194"/>
    <x v="7"/>
    <d v="2026-03-13T16:24:08"/>
    <s v="Andre Mendes Costa"/>
    <s v="APROVADORES DE IDEIAS"/>
    <m/>
    <s v="Resolvido"/>
    <x v="0"/>
    <m/>
  </r>
  <r>
    <s v="FB0111768"/>
    <s v="bicas para descarga"/>
    <x v="0"/>
    <s v="As bicas tortas para descarga de café cru ficam espalhadas na prataforma atrapalhando o tráfego dos colaboradores e quase sempre não são usadas._x000a_Com a construção de um suporte sendo um cano de ferro com 6 ganchos as bicas ficariam ali mesmo próximo ao canto da parede não atrapalhando o tráfego dos colaboradores e sendo de fácil acesso quando precisar dás mesmas "/>
    <s v="Valdeci Simoes"/>
    <s v="Grande mudança local"/>
    <x v="0"/>
    <x v="195"/>
    <x v="8"/>
    <d v="2025-07-02T09:31:47"/>
    <m/>
    <s v="IDEIAS-CAFÉ CRÚ"/>
    <d v="2025-07-02T09:31:47"/>
    <s v="Cancelado"/>
    <x v="0"/>
    <m/>
  </r>
  <r>
    <s v="FB0111819"/>
    <s v="are de resíduo orgânico "/>
    <x v="1"/>
    <s v="Melhorar a área de resíduo orgânico _x000a_Grade com furores menores para segurar o lixo comum e também se tiver algum peça no rejeito do detector de metal _x000a_Vassoura e pasinha para varrer a área _x000a_Rodo para mecher o café na grade e separar o lixo orgânico _x000a_Placa com identificação da área "/>
    <s v="Iranildo Costa"/>
    <s v="Pequena mudança local"/>
    <x v="0"/>
    <x v="196"/>
    <x v="7"/>
    <d v="2026-01-23T09:37:20"/>
    <s v="Aline Fernandes"/>
    <s v="APROVADORES DE IDEIAS"/>
    <d v="2026-01-23T09:37:20"/>
    <s v="Fechado"/>
    <x v="0"/>
    <m/>
  </r>
  <r>
    <s v="FB0111820"/>
    <s v="alteração na escrita do CIL fab 5"/>
    <x v="1"/>
    <s v="Limpeza da esteira após o tobogã atualizar para ser com aspirador para retirada da sujeira nos espaços pequenos ,para evitar paradas devido sujidade na esteira "/>
    <s v="Sara Lobato"/>
    <s v="Pequena mudança local"/>
    <x v="4"/>
    <x v="197"/>
    <x v="7"/>
    <d v="2025-11-05T08:51:10"/>
    <s v="Bianca Silva"/>
    <s v="APROVADORES DE IDEIAS"/>
    <d v="2025-11-05T08:51:10"/>
    <s v="Fechado"/>
    <x v="0"/>
    <m/>
  </r>
  <r>
    <s v="FB0112019"/>
    <s v="remarcoes de centerlining "/>
    <x v="1"/>
    <s v="Fazer as remarcações nos roletes das fabrimas, assim conseguimos manter melhor a performance da máquina e padronizar a operação , mantendo a vertical alinhada ."/>
    <s v="Angela Santos"/>
    <s v="Pequena mudança local"/>
    <x v="4"/>
    <x v="198"/>
    <x v="7"/>
    <d v="2025-10-15T08:46:31"/>
    <s v="Moises Costa"/>
    <s v="APROVADORES DE IDEIAS"/>
    <d v="2025-10-15T08:46:31"/>
    <s v="Fechado"/>
    <x v="0"/>
    <m/>
  </r>
  <r>
    <s v="FB0112072"/>
    <s v="MELHORIA NAS FIXAÇÕES DOS MOINHOS"/>
    <x v="3"/>
    <s v="Moinhos com vazamento de café nas portas, melhoria realizada no moinho 02, reaplicar para os outros_x000a_HIAGO: Infomado que Leandro está dando andamento desta atividade. Aprovado"/>
    <s v="Leandro Freire"/>
    <s v="Pequena mudança local"/>
    <x v="7"/>
    <x v="199"/>
    <x v="3"/>
    <d v="2026-08-10T14:05:24"/>
    <s v="Anderson Santana"/>
    <s v="APROVADORES DE IDEIAS"/>
    <m/>
    <s v="Aguardando material "/>
    <x v="1"/>
    <m/>
  </r>
  <r>
    <s v="FB0112085"/>
    <s v="Opção de vídeo no DMOS"/>
    <x v="1"/>
    <s v="Opção de vídeo no próprio DMOS ao abrir etiquetas, em situações onde é necessário a movimentação para visualizar o problema/solução e etc._x000a__x000a_RETORNO:_x000a_Atribuido ao Hiago que é o Key User do módulo de etiquetas na planta para que possa verificar o ajuste com o DMOS global."/>
    <s v="Rafael Santos"/>
    <s v="Pequena mudança local"/>
    <x v="2"/>
    <x v="200"/>
    <x v="0"/>
    <d v="2026-08-12T09:14:10"/>
    <s v="Luzia Rodrigues"/>
    <s v="APROVADORES DE IDEIAS"/>
    <d v="2026-08-12T09:14:11"/>
    <s v="Fechado"/>
    <x v="0"/>
    <m/>
  </r>
  <r>
    <s v="FB0112095"/>
    <s v="Paleteira com balança "/>
    <x v="3"/>
    <s v="Paleteira com balança, para ajudar na pesagem de bobinas da PKD."/>
    <s v="Vitor Xavier"/>
    <s v="Pequena mudança local"/>
    <x v="1"/>
    <x v="201"/>
    <x v="1"/>
    <d v="2026-09-11T13:35:35"/>
    <s v="Giovanna Biffaratte"/>
    <s v="APROVADORES DE IDEIAS"/>
    <m/>
    <s v="Aguardando Aprovação de CAPEX"/>
    <x v="0"/>
    <m/>
  </r>
  <r>
    <s v="FB0112207"/>
    <s v="Batente Fabrima 5"/>
    <x v="1"/>
    <s v="Instalação de batente na fabrima 5 seguindo padrao do piloto feito na Fabrima 4"/>
    <s v="Fabio A Oliveira"/>
    <s v="Pequena mudança local"/>
    <x v="1"/>
    <x v="202"/>
    <x v="10"/>
    <d v="2025-06-19T10:56:04"/>
    <s v="Fabio A Oliveira"/>
    <s v="IDEIAS-LOGÍSTICA"/>
    <d v="2025-06-19T10:56:04"/>
    <s v="Fechado"/>
    <x v="1"/>
    <m/>
  </r>
  <r>
    <s v="FB0112228"/>
    <s v="Manutenção autônoma Para Moagem "/>
    <x v="1"/>
    <s v="Este quadro de ferramentas era destinado somente para associados da área do torrador, hoje não usa mais este armário devido cada operador do torrador tem seu kit de ferramentas individuais._x000a_Como a área da Moagem não tem ferramentas específicas e úteis para exercer quaisquer atividades relacionadas a M.A faço uma solicitação para que completem as ferramentas faltantes deste armário é destinam ao pessoal da operação da Moagem, assim facilitando as atividades deles com qualquer ferramenta e sem depender de manutenção para que possam realizar qualquer melhoria._x000a__x000a__x000a_Att:  Edvaldo Rener _x000a__x000a_HIAGO: Aprovado. Ótima ideia. Pedro, favor providenciar a compra das ferramentas. _x000a__x000a_PEDRO FERREIRA: Ideia aguardando aprovação do pedido de compras "/>
    <s v="Edvaldo Silva"/>
    <s v="Pequena mudança local"/>
    <x v="0"/>
    <x v="203"/>
    <x v="2"/>
    <d v="2025-09-10T09:38:07"/>
    <s v="Pedro Ferreira"/>
    <s v="IDEIAS-PROCESSOS"/>
    <d v="2025-09-10T09:38:07"/>
    <s v="Fechado"/>
    <x v="0"/>
    <m/>
  </r>
  <r>
    <s v="FB0112229"/>
    <s v="Alongamento do cabo"/>
    <x v="1"/>
    <s v="Aumentar o cabo de 1,70 para 1,90 obtendo-se melhor ergonomia e desempenho no trabalho."/>
    <s v="RICARDO BARBOSA"/>
    <s v="Pequena mudança local"/>
    <x v="1"/>
    <x v="204"/>
    <x v="8"/>
    <d v="2025-08-21T12:41:40"/>
    <s v="Talita Campos"/>
    <s v="IDEIAS-CAFÉ CRÚ"/>
    <d v="2025-08-21T12:41:40"/>
    <s v="Fechado"/>
    <x v="0"/>
    <m/>
  </r>
  <r>
    <s v="FB0112369"/>
    <s v="Bobina Raumak furada "/>
    <x v="3"/>
    <s v="Ideia do Alexandre Assis: Solicitar ao fornecedor que a bobina da Raumak já venha com a furação, evitando que tenhamos problema com variação da vertical na Fabrima pois não precisaria mais do furador. Ele comentou que na empresa anterior que ele trabalhava era assim e não tinha problemas._x000a__x000a_PEDRO FERREIRA: _x000a_Analisei com o pessoal de vendas, me passaram o emial do fornecedor (Zaraplast), mas é necessário reunir todos os coordenadores de manufatura e qualidade, para discutir a viabilidade dessa ideia. Assim, caso haja aprovação, Michelle ou Alexandre (criadores da ideia), podem entrar em contato diretamente com o fornecedor e solicitar a mudança, mas enquanto isso, aguardo aprovação da ideia pelos responsáveis que são Michelle, Relton ou Moises. Na aba de comentário estará o email do forncedor. "/>
    <s v="Michelle Faria"/>
    <s v="Pequena mudança local"/>
    <x v="4"/>
    <x v="205"/>
    <x v="0"/>
    <d v="2026-09-11T13:37:26"/>
    <s v="Relton Moraes"/>
    <s v="APROVADORES DE IDEIAS"/>
    <m/>
    <s v="Aguardando Validação"/>
    <x v="1"/>
    <m/>
  </r>
  <r>
    <s v="FB0112523"/>
    <s v="Chapa metálica no robo da fabrima 5"/>
    <x v="1"/>
    <s v="Colocar uma chapa para fechar um buraco localizado no final da esteira do robo da fabrima 5, esse local era onde localizado o botão de start, assim, ficou um buraco com os fios. Dessa forma, para questão estética e segurança, colocar uma chapa para tapar esse buraco. "/>
    <s v="Pedro Ferreira"/>
    <s v="Pequena mudança local"/>
    <x v="0"/>
    <x v="206"/>
    <x v="20"/>
    <d v="2025-06-23T08:55:31"/>
    <s v="Pedro Ferreira"/>
    <s v="IDEIAS-MELHORIA CONTÍNUA"/>
    <d v="2025-06-23T08:55:31"/>
    <s v="Fechado"/>
    <x v="1"/>
    <m/>
  </r>
  <r>
    <s v="FB0112544"/>
    <s v="melhoria de ma no CIL"/>
    <x v="1"/>
    <s v="Separar os seguintes pontos de limpeza _x000a_* Roletes do freio _x000a_* Sensor da fotocélula _x000a_* Parte da frente da fabrima _x000a_* Lateral interna da fabrima _x000a_* Chão abaixo do tobogã da fabrima "/>
    <s v="Bruna Santos"/>
    <s v="Pequena mudança local"/>
    <x v="4"/>
    <x v="207"/>
    <x v="19"/>
    <d v="2025-11-05T08:50:50"/>
    <s v="Bianca Silva"/>
    <s v="APROVADORES DE IDEIAS"/>
    <d v="2025-11-05T08:50:50"/>
    <s v="Fechado"/>
    <x v="0"/>
    <m/>
  </r>
  <r>
    <s v="FB0112560"/>
    <s v="Balança"/>
    <x v="3"/>
    <s v="Uma balança próximo as fabrimas para pesar as bobinas quando necessário, no momento a única balança que tem é a da PKD, onde os operador das fabrimas tem que dar a volta na PKD para pesar as bobinas."/>
    <s v="Rafael Santos"/>
    <s v="Pequena mudança local"/>
    <x v="0"/>
    <x v="208"/>
    <x v="0"/>
    <d v="2025-08-18T14:22:20"/>
    <s v="Aline Fernandes"/>
    <s v="APROVADORES DE IDEIAS"/>
    <m/>
    <s v="Aguardando Aprovação de CAPEX"/>
    <x v="0"/>
    <m/>
  </r>
  <r>
    <s v="FB0112603"/>
    <s v="bucha da vertical fabrima 5"/>
    <x v="2"/>
    <s v="A bucha de bronze da vertical da fabrima 5 , está com folga , poderia ser feito uma substituição dessa peça de um outro material EX: celeron ou outro material mais resistente ). Pois este está com folga na vertical e não tem como fazer reaperto "/>
    <s v="Angela Santos"/>
    <s v="Pequena mudança local"/>
    <x v="4"/>
    <x v="209"/>
    <x v="7"/>
    <d v="2026-01-13T15:31:49"/>
    <s v="Andre Mendes Costa"/>
    <s v="APROVADORES DE IDEIAS"/>
    <m/>
    <s v="Resolvido"/>
    <x v="0"/>
    <m/>
  </r>
  <r>
    <s v="FB0112606"/>
    <s v="fabrima 5 manômetro para o ar comprimido "/>
    <x v="1"/>
    <s v="Implementar manômetro regulador da pressão do ar comprimido na fabrima 2 / 3 , foi implementado na fabrima 4-5 , esse regulador de ar , foi colocado para evitar uma pressão mais que o necessário nos eixos expansivos , assim evitando furar as borrachas do eixo ._x000a__x000a_ANA MARTINS: MELHORIA JÁ FOI REALIZADA NAS FABRIMAS 2 E 3 TAMBEM! "/>
    <s v="Angela Santos"/>
    <s v="Pequena mudança local"/>
    <x v="2"/>
    <x v="210"/>
    <x v="0"/>
    <d v="2025-10-31T10:18:56"/>
    <s v="Henrique Cardoso"/>
    <s v="APROVADORES DE IDEIAS"/>
    <d v="2025-10-31T10:18:56"/>
    <s v="Fechado"/>
    <x v="0"/>
    <m/>
  </r>
  <r>
    <s v="FB0112626"/>
    <s v="Arremessador "/>
    <x v="2"/>
    <s v="Foi conversado com a manutenção, Sobre fazer a lubrificação mensal no arremessador, mas foi sugerido fazer na programação da preventiva, pois já ocorreu falha no arremessador na fábrica 02 sobre ele ficar travando e foi necessário fazer somente uma lubrificação e acompanhar e também mexer nos parâmetros do arremessador _x000a__x000a_ANA MARTINS: ANDRE VAI VERIFICAR A INCERÇÃO NA PROGRAMAÇÃO DA PREVENTIVA"/>
    <s v="Emilly Silva"/>
    <s v="Pequena mudança local"/>
    <x v="2"/>
    <x v="211"/>
    <x v="0"/>
    <d v="2026-03-13T16:51:03"/>
    <s v="Andre Mendes Costa"/>
    <s v="APROVADORES DE IDEIAS"/>
    <m/>
    <s v="Resolvido"/>
    <x v="0"/>
    <m/>
  </r>
  <r>
    <s v="FB0112888"/>
    <s v="numerar  dos roletes fabrima 5"/>
    <x v="1"/>
    <s v="Colocar numerações nos roletes das fabrimas , para evitar passagem do filme errado "/>
    <s v="Angela Santos"/>
    <s v="Pequena mudança local"/>
    <x v="4"/>
    <x v="212"/>
    <x v="7"/>
    <d v="2025-10-16T11:26:04"/>
    <s v="Moises Costa"/>
    <s v="APROVADORES DE IDEIAS"/>
    <d v="2025-10-16T11:26:04"/>
    <s v="Fechado"/>
    <x v="0"/>
    <m/>
  </r>
  <r>
    <s v="FB0113132"/>
    <s v="mesa para fabrima 5"/>
    <x v="3"/>
    <s v="A fabrima 5 não tem uma mesinha , onde os operadores realizam as análises e colocam os materiais de trabalho, acabando usando o acrílico de proteção da balança como mesa, poderia colocar uma mesa na linha 5_x000a__x000a_Relton: Foi alinhado com a Operadora para verificar com os outros operadores o melhor local para colocar a mesa, tendo em vista que a linha e muito apertada."/>
    <s v="Angela Santos"/>
    <s v="Pequena mudança local"/>
    <x v="0"/>
    <x v="213"/>
    <x v="7"/>
    <d v="2025-10-27T13:42:44"/>
    <s v="Relton Moraes"/>
    <s v="APROVADORES DE IDEIAS"/>
    <m/>
    <s v="Aguardando Orçamento"/>
    <x v="0"/>
    <m/>
  </r>
  <r>
    <s v="FB0113374"/>
    <s v="modo em Stand-by (câmera de torra sem café )"/>
    <x v="1"/>
    <s v="Toada vês que torradores estiver e modo de Stand-by tem deixar a rosca intermitentes a 15% ._x000a_HIAGO: verifricar com Izabela, pois este tema está contemplado na IT criada recetemente"/>
    <s v="Edvan Santos"/>
    <s v="Pequena mudança local"/>
    <x v="2"/>
    <x v="214"/>
    <x v="2"/>
    <d v="2025-10-31T10:17:38"/>
    <s v="Izabela Pugliesi"/>
    <s v="IDEIAS-PROCESSOS"/>
    <d v="2025-10-31T10:17:38"/>
    <s v="Fechado"/>
    <x v="0"/>
    <m/>
  </r>
  <r>
    <s v="FB0113375"/>
    <s v="modo torradores torando os café na câmera de torra "/>
    <x v="2"/>
    <s v="Toda vez que estiver torrando os café na câmera de torra tem que colocar a rosca intermitente  24% a  28 %._x000a__x000a_HIAGO: Verificar com Izabela pois este tema está na IT criada recentemente."/>
    <s v="Edvan Santos"/>
    <s v="Pequena mudança local"/>
    <x v="3"/>
    <x v="215"/>
    <x v="2"/>
    <d v="2026-07-10T11:32:08"/>
    <s v="Izabela Pugliesi"/>
    <s v="APROVADORES DE IDEIAS"/>
    <m/>
    <s v="Resolvido"/>
    <x v="0"/>
    <m/>
  </r>
  <r>
    <s v="FB0113378"/>
    <s v="temperatura do ar de entrada ( sem café)"/>
    <x v="0"/>
    <s v="Deixa a temperatura do ar de entrada 180 graus celsius ( para evitar atraso de café na câmeras de torra)_x000a__x000a_HIAGO: Por manufatura está validado, necessário veriricar com Engenharia de Processos se é viável ou se acarreta em algum impacto."/>
    <s v="Edvan Santos"/>
    <s v="Pequena mudança local"/>
    <x v="2"/>
    <x v="216"/>
    <x v="2"/>
    <d v="2025-07-15T10:52:16"/>
    <m/>
    <s v="IDEIAS-PROCESSOS"/>
    <d v="2025-07-15T10:52:16"/>
    <s v="Cancelado"/>
    <x v="0"/>
    <m/>
  </r>
  <r>
    <s v="FB0113452"/>
    <s v="Ideia de Melhoria Para limpeza das balanças."/>
    <x v="1"/>
    <s v="Uma vez por mês temos que realizar limpeza interna das balanças de café torrado, porém temos dificuldade para conseguir acesso seguro para realizar essas atividades. Atualmente temos que subir sobre a tubulação do cablevey conforme foto 3 ilustrada para conseguirmos realizar as atividades._x000a_A ideia seria criarmos uma plataforma de grade conforme foto 1 e 2 para trabalharmos de forma segura e de boa Prática e eliminando os risco de obter quaisquer escorregamento sobre os Cablevey._x000a__x000a_Obs: Essa criação dessa grade para acesso nosso time de manutenção ( Cleiton ) já realizou a verificação para criação e informou que consegue fazer sem ser preciso de pessoas terceirizados, pois temos os matérias para criação._x000a__x000a_ANA MARTINS: Programar Cleiton para Executar._x000a_HIAGO DANTAS:  Ideia aprovada, vai reduzir muito o risco de segurança da atividade. Importante validar com SHE a melhor forma de construção (Ex.; deve ter guarda corpo? dimensões?) após isso validar com Operadores para ter aprovação do projeto final_x000a__x000a_SHE: Aprovado. Podemos seguir com a idea. Entretanto como o Hiago citou temos alguns passos para serem seguidos. A plataforma deve atender a requisitos de norma tal como guarda corpo, degrau e piso da plataforma. Se seguirmos com projeto (CAPEX) deve ser aberto uma TAP. "/>
    <s v="Edvaldo Silva"/>
    <s v="Pequena mudança local"/>
    <x v="2"/>
    <x v="217"/>
    <x v="2"/>
    <d v="2026-02-09T14:31:41"/>
    <s v="Ana Martins"/>
    <s v="IDEIAS-PROCESSOS"/>
    <d v="2026-02-09T14:31:41"/>
    <s v="Fechado"/>
    <x v="0"/>
    <m/>
  </r>
  <r>
    <s v="FB0113582"/>
    <s v="Faixa de Pedestre"/>
    <x v="0"/>
    <s v="Pintar faixa de pedestre entre os pontos seguros da logística. A ideia é orientar o fluxo de pessoas na área de movimentação de empilhadeira, considerando que de um ponto a outro não tem contenção nem direcionamento. Quando o pedestre entra na logística aumenta o risco de acidente por possibilitar o acesso entre os palets e fora do campo de visão do operador."/>
    <s v="Fabrizia Soares"/>
    <s v="Pequena mudança local"/>
    <x v="1"/>
    <x v="218"/>
    <x v="10"/>
    <d v="2025-11-25T13:25:44"/>
    <m/>
    <s v="IDEIAS-LOGÍSTICA"/>
    <d v="2025-11-25T13:25:44"/>
    <s v="Cancelado"/>
    <x v="1"/>
    <m/>
  </r>
  <r>
    <s v="FB0113584"/>
    <s v="Sinalização de Ponto Seguro"/>
    <x v="3"/>
    <s v="Criar na fábrica uma sinalização (placa e demarcação no chão) de onde devemos aguardar que seja um &quot;Ponto Seguro&quot;. Inicialmente a ideia surgiu na Logística mas entendo que poderia ser também utilizado nos pontos do Torrador, Moinho, Empacotamento pois as vezes vamos falar com os operadores e não temos um ponto especifico para aguardar e ficamos em locais que tem risco ou impactam a operação._x000a__x000a_"/>
    <s v="Fabrizia Soares"/>
    <s v="Pequena mudança local"/>
    <x v="1"/>
    <x v="219"/>
    <x v="16"/>
    <d v="2026-09-11T13:54:03"/>
    <s v="Fabrizia Soares"/>
    <s v="APROVADORES DE IDEIAS"/>
    <m/>
    <s v="Aguardando Orçamento"/>
    <x v="1"/>
    <m/>
  </r>
  <r>
    <s v="FB0113693"/>
    <s v="DDSHEQ"/>
    <x v="2"/>
    <s v="Realizar a troca do dia da semana do DDSHQ que ocorre nas quintas feiras para sexta feira, para que as limpezas das peneiras possam se iniciar no início do turno._x000a__x000a_----------------------------------_x000a__x000a_SHE: aprovado. Não há impacto negativa na mudança._x000a__x000a_Pedro Ferreira: Ideia deve ser analisada pela Manufatura."/>
    <s v="Patrick Pessoa"/>
    <s v="Pequena mudança local"/>
    <x v="1"/>
    <x v="220"/>
    <x v="1"/>
    <d v="2025-10-29T09:19:22"/>
    <s v="Michelle Faria"/>
    <s v="IDEIAS-VACUO"/>
    <m/>
    <s v="Resolvido"/>
    <x v="0"/>
    <m/>
  </r>
  <r>
    <s v="FB0113704"/>
    <s v="silo nao sendo utilidade podendo dar utilidade a ele "/>
    <x v="0"/>
    <s v="Por o silo que era da máquina de grão ,para ser de reprocesso ,sendo que a desmontagem dele ficará mais caro do que fazer a ligação dele para os 8 silo de pó deixar destinado só para dosagem e não mas necessário fazer mudança de inversos deixar no lugar fixo se tornando este silos inutilizáveis o silo de sacrifício "/>
    <s v="Julho Silva"/>
    <s v="Pequena mudança local"/>
    <x v="4"/>
    <x v="221"/>
    <x v="3"/>
    <d v="2025-11-12T14:55:05"/>
    <m/>
    <s v="IDEIAS-PROCESSOS"/>
    <d v="2025-11-12T14:55:05"/>
    <s v="Cancelado"/>
    <x v="0"/>
    <m/>
  </r>
  <r>
    <s v="FB0113714"/>
    <s v="Parâmetro de dosagem "/>
    <x v="3"/>
    <s v="Retirada do parâmetro de dosagem do centerlining das fabrimas 2 e 3, pois todo café que está no silo é diferente, e esse parâmetro de dosagem é um parâmetro que depende muito do tipo do café, onde ele pode variar tanto pra menos quanto para mais."/>
    <s v="Rafael Santos"/>
    <s v="Pequena mudança local"/>
    <x v="4"/>
    <x v="222"/>
    <x v="19"/>
    <d v="2025-09-09T18:24:44"/>
    <s v="Relton Moraes"/>
    <s v="APROVADORES DE IDEIAS"/>
    <m/>
    <s v="Aguardando Execução "/>
    <x v="0"/>
    <m/>
  </r>
  <r>
    <s v="FB0113718"/>
    <s v="melhora o preenchimento do quadro de ops1 da moagem "/>
    <x v="2"/>
    <s v="Passado para os operadores da moagem fazer um preenchimento mais detalhado e onde só coloríamos começarmos a colocar o maior impacto _x000a_Com a maior parada ex ( sc - fc - sp ) um desses três, assim o operador que chega vai saber o real motivo do quadro estar cheio ou vazio _x000a_Se ele não conseguir pegar a ops1"/>
    <s v="Alex Teixeira"/>
    <s v="Pequena mudança local"/>
    <x v="4"/>
    <x v="223"/>
    <x v="3"/>
    <d v="2025-09-25T15:09:26"/>
    <m/>
    <s v="IDEIAS-PROCESSOS"/>
    <m/>
    <s v="Resolvido"/>
    <x v="0"/>
    <m/>
  </r>
  <r>
    <s v="FB0113719"/>
    <s v="aumenta o tempo de descanso do café em pó "/>
    <x v="4"/>
    <s v="Fazer alguns testes nos silos de pó da moagem para conseguirmos ganhar mais tempo neles, assim podemos deixar mais cafés descansados para as máquinas, evitando dar falta de café devido a moagem, com isso melhoraria a performance dos moinhos onde eles não precisam ficar parando com silos cheios e deixaria o torrador bem menos parado "/>
    <s v="Alex Teixeira"/>
    <s v="Grande mudança local"/>
    <x v="2"/>
    <x v="224"/>
    <x v="3"/>
    <d v="2026-06-30T14:07:44"/>
    <m/>
    <s v="APROVADORES DE IDEIAS"/>
    <m/>
    <s v="Rascunho"/>
    <x v="0"/>
    <m/>
  </r>
  <r>
    <s v="FB0113912"/>
    <s v="Acrilico no quadro das Fabrimas "/>
    <x v="2"/>
    <s v="Colocar um acrilico para poder colocar os formulários de Troca de Produto na linha, mais próximo da operação ajudando na rapidez da troca de produto._x000a__x000a_RETORNO:_x000a_[LUZIA] estou comprando alguns acrílicos para a área de treinamentos e consigo ceder um para esta demanda também._x000a__x000a_Sugestão: Bianca, não conseguimos colocar esse formulário no DMOS ou no FORMS para eliminar o papel?"/>
    <s v="Bianca Silva"/>
    <s v="Pequena mudança local"/>
    <x v="4"/>
    <x v="225"/>
    <x v="16"/>
    <d v="2026-07-03T10:52:42"/>
    <s v="Flavia Silveira"/>
    <s v="APROVADORES DE IDEIAS"/>
    <m/>
    <s v="Resolvido"/>
    <x v="1"/>
    <m/>
  </r>
  <r>
    <s v="FB0113971"/>
    <s v="Instalar uma televisão no MOS ACADEMY para treinamentos e reuniões"/>
    <x v="1"/>
    <s v="Instalar uma televisão no MOS ACADEMY para treinamentos e reuniões (a que ficava lá é da manufatura, foi retirada e não voltará a ficar fixa no local)."/>
    <s v="Ana Pereira"/>
    <s v="Pequena mudança local"/>
    <x v="0"/>
    <x v="226"/>
    <x v="16"/>
    <d v="2025-07-14T15:32:15"/>
    <m/>
    <s v="IDEIAS-ADMINISTRATIVO"/>
    <d v="2025-07-14T15:32:15"/>
    <s v="Fechado"/>
    <x v="1"/>
    <m/>
  </r>
  <r>
    <s v="FB0114031"/>
    <s v="balança perto das fabrimas "/>
    <x v="3"/>
    <s v="Colocar a balança para uma posição que não dificulta tanto o time de fabrima usá-la , na correria do turno para refazer uma pesagem de bobina fica mais trabalhoso, poderia colocar perto do filtro d água da PKD , ou uma embaixo do distribuidores "/>
    <s v="Angela Santos"/>
    <s v="Pequena mudança local"/>
    <x v="7"/>
    <x v="227"/>
    <x v="7"/>
    <d v="2025-08-04T06:07:15"/>
    <s v="Aline Fernandes"/>
    <s v="APROVADORES DE IDEIAS"/>
    <m/>
    <s v="Aguardando Aprovação de CAPEX"/>
    <x v="0"/>
    <m/>
  </r>
  <r>
    <s v="FB0114076"/>
    <s v="Modificação formulário PKD "/>
    <x v="1"/>
    <s v="Gostaria de sugerir que os campos de “Silo” e “Horário de Início/Fim do Silo” sejam adicionados novamente ao formulário da PKD, assim como já existe no formulário das Fabrimas._x000a__x000a_Esses campos estavam presentes antes, mas foram retirados por serem considerados duplicados em relação ao Formulário de Tempo de Descanso. O problema é que, quando esse formulário não é preenchido corretamente, os assistentes precisam corrigir manualmente. Com o projeto Perdas Zero, também não conseguimos mais visualizar no MOP a parada de &quot;Troca de Silo&quot;, e isso acaba sendo registrado com base em suposições._x000a__x000a_Se for necessário fazer rastreabilidade e o operador errar o horário por 1 pallet, isso já representa 480 kg, o que faz muita diferença. Por isso, vejo esses campos não como uma duplicação, mas como uma confirmação importante, que ajuda a garantir a rastreabilidade."/>
    <s v="Bianca Silva"/>
    <s v="Pequena mudança local"/>
    <x v="3"/>
    <x v="228"/>
    <x v="1"/>
    <d v="2025-11-05T08:50:18"/>
    <s v="Bianca Silva"/>
    <s v="IDEIAS-VACUO"/>
    <d v="2025-11-05T08:50:18"/>
    <s v="Fechado"/>
    <x v="1"/>
    <m/>
  </r>
  <r>
    <s v="FB0114091"/>
    <s v="Sensor de parada caixa box encaixotadora "/>
    <x v="1"/>
    <s v="Realizar a colocação de chave seletora de liga e desliga no sensor de parada de caixa ,porque quando a falha na encaixotadora e ela para fora do ponto a necessidade de desligar o sensor manualmente para que a encaixotadora não execute manobra errada depois a necessidade de para para o religamento do sensor manualmente que é o acoplamento do cabo essa manobra é realizada afim de garantir que não aja avaria no equipamento mas resultando em tempo de parada de máquina maior._x000a_Ideia essa discutida com os Manutentores Wallace e Arthur que se dispõe a realizar . Com material de almoxarifado _x000a_Time Patrick Wesley Wallace e Arthur "/>
    <s v="Patrick Pessoa"/>
    <s v="Pequena mudança local"/>
    <x v="4"/>
    <x v="229"/>
    <x v="1"/>
    <d v="2025-07-28T10:22:55"/>
    <m/>
    <s v="IDEIAS-VACUO"/>
    <d v="2025-07-28T10:22:55"/>
    <s v="Fechado"/>
    <x v="0"/>
    <m/>
  </r>
  <r>
    <s v="FB0114100"/>
    <s v="dispositivo de fita para fazer emenda na troca de bobina "/>
    <x v="1"/>
    <s v="Facilitar para o operador da linha na hora da troca da bobina,ao fazer emenda da bobina com a fita._x000a_Fazer a emenda com mais facilidade e ganhando mais tempo na troca da bobina._x000a_"/>
    <s v="Wesley J Silva"/>
    <s v="Pequena mudança local"/>
    <x v="4"/>
    <x v="230"/>
    <x v="1"/>
    <d v="2025-07-25T09:39:13"/>
    <m/>
    <s v="IDEIAS-VACUO"/>
    <d v="2025-07-25T09:39:13"/>
    <s v="Fechado"/>
    <x v="0"/>
    <m/>
  </r>
  <r>
    <s v="FB0114113"/>
    <s v="vazamento de café nas peneiras"/>
    <x v="3"/>
    <s v="São pequenos pontos de vazamento,que trás uma perda constante de café ,trazendo uma grande perda e prejuízo para nossa imprensa _x000a_Hoje cada grão conta  ,mostrando a nossa preocupação e resolvendo este problema "/>
    <s v="Luiz H Silva"/>
    <s v="Pequena mudança local"/>
    <x v="7"/>
    <x v="231"/>
    <x v="3"/>
    <d v="2026-04-20T18:36:11"/>
    <s v="Moises Costa"/>
    <s v="IDEIAS-PROCESSOS"/>
    <m/>
    <s v="Aguardando material "/>
    <x v="0"/>
    <m/>
  </r>
  <r>
    <s v="FB0114275"/>
    <s v="Monitoramento de corrente dos inversores"/>
    <x v="3"/>
    <s v="Instalação da placa de rede nos inversores de frequência relacionado aos sopradores, com isso iremos conseguir monitorar a corrente e a frequência, para fazer um diagnóstico mais especifico do porque ocorre o desarme dos sopradores com frequência._x000a__x000a_Ideia vista junto ao Igor e o Rubens da ENG."/>
    <s v="Ana Martins"/>
    <s v="Pequena mudança local"/>
    <x v="2"/>
    <x v="232"/>
    <x v="30"/>
    <d v="2025-09-08T10:44:47"/>
    <s v="Igor Sousa"/>
    <s v="IDEIAS-CAFÉ CRÚ"/>
    <m/>
    <s v="Aguardando Execução "/>
    <x v="1"/>
    <m/>
  </r>
  <r>
    <s v="FB0114415"/>
    <s v="Usar potes de louça ou de plástico laváveis para eliminar o plástico do pote usado para caldos."/>
    <x v="0"/>
    <s v="Usar potes de louça ou de plástico laváveis para eliminar o plástico do pote usado para caldos no almoço. A ideia eliminaria a geração desse resíduo."/>
    <s v="Ruth Ribeiro"/>
    <s v="Pequena mudança local"/>
    <x v="3"/>
    <x v="233"/>
    <x v="16"/>
    <d v="2025-07-15T10:52:04"/>
    <m/>
    <s v="IDEIAS-ADMINISTRATIVO"/>
    <d v="2025-07-15T10:52:04"/>
    <s v="Cancelado"/>
    <x v="1"/>
    <m/>
  </r>
  <r>
    <s v="FB0114419"/>
    <s v="Usar colheres de metal para substituir colheres usadas para bolo e sobremesa no almoço"/>
    <x v="1"/>
    <s v="Usar colheres de metal para substituir colheres usadas para bolo e sobremesa no almoço  iria remover o resíduo gerado pelas colheres descartáveis usadas durante as alimentações.   "/>
    <s v="Ruth Ribeiro"/>
    <s v="Pequena mudança local"/>
    <x v="8"/>
    <x v="234"/>
    <x v="16"/>
    <d v="2025-07-23T13:25:10"/>
    <s v="Ana Pereira"/>
    <s v="IDEIAS-ADMINISTRATIVO"/>
    <d v="2025-07-23T13:25:10"/>
    <s v="Fechado"/>
    <x v="1"/>
    <m/>
  </r>
  <r>
    <s v="FB0114559"/>
    <s v="acesso a parte superior dos silos"/>
    <x v="0"/>
    <s v="Minha ideia seria continuar com a escada com guarda mão que já está na metade do caminho faltando só mai duas elevações chegando a parte superior dos silos com isto reduziria o tempo de suporte da manutenção  reduziria o tempo de parada entre descarga e abastecimento de silos de café cru"/>
    <s v="Valdeci Simoes"/>
    <s v="Pequena mudança local"/>
    <x v="0"/>
    <x v="235"/>
    <x v="22"/>
    <d v="2026-04-08T16:51:55"/>
    <m/>
    <s v="IDEIAS-SHE"/>
    <d v="2026-04-08T16:51:55"/>
    <s v="Cancelado"/>
    <x v="0"/>
    <m/>
  </r>
  <r>
    <s v="FB0114581"/>
    <s v="Melhoria no Esteirão. "/>
    <x v="0"/>
    <s v="Instalar um Redler de corrente transportadora substituindo correia do esteirão de Cavaco, devido ao longo histórico de paradas no esteirão por embuchamento que vem ocorrendo desde sempre, o “Redler de corrente transportadora” possui pás que auxiliam na tração do transporte do cavaco evitando que acumulo em um ponto e obstrução do fluxo. "/>
    <s v="Gean Silva"/>
    <s v="Grande mudança local"/>
    <x v="4"/>
    <x v="236"/>
    <x v="31"/>
    <d v="2025-07-12T14:05:31"/>
    <m/>
    <s v="IDEIAS-PROCESSOS"/>
    <d v="2025-07-12T14:05:31"/>
    <s v="Cancelado"/>
    <x v="0"/>
    <m/>
  </r>
  <r>
    <s v="FB0114589"/>
    <s v="PONTO DE AR COMPRIMIDO COM REGULAGEM DE PRESSÃO COM PISTOLA INTERNA NAS FABRIMAS"/>
    <x v="1"/>
    <s v="PONTO DE AR COMPRIMIDO COM REGULAGEM DE PRESSÃO COM PISTOLA INTERNA PARA INFLAR O EIXO EXPANSIVO, DIMINUINDO O TEMPO E ELIMINANDO PROBLEMA DE DANIFICAR AS CÂMARAS DE AR DOS EIXOS"/>
    <s v="Jader Costa"/>
    <s v="Pequena mudança local"/>
    <x v="0"/>
    <x v="237"/>
    <x v="0"/>
    <d v="2025-07-28T10:23:08"/>
    <m/>
    <s v="APROVADORES DE IDEIAS"/>
    <d v="2025-07-28T10:23:08"/>
    <s v="Fechado"/>
    <x v="1"/>
    <m/>
  </r>
  <r>
    <s v="FB0114727"/>
    <s v="sinalização de saída "/>
    <x v="1"/>
    <s v="Sinalização de saída de emergência concluído ‘ contener da manufatura estava sem placa de sinalização de saída . abri uma etiqueta para q possa ser sinalizado uma placa onde podemos verificar a saída correta do local . As sinalizações são legais pois nos mostra onde podemos entrar e sair do local sem dificuldades e com segurança em nosso primeiro lugar grato pelo atendimento correto "/>
    <s v="Thais Souza"/>
    <s v="Pequena mudança local"/>
    <x v="1"/>
    <x v="238"/>
    <x v="20"/>
    <d v="2025-07-28T10:57:45"/>
    <m/>
    <s v="IDEIAS-MELHORIA CONTÍNUA"/>
    <d v="2025-07-28T10:57:45"/>
    <s v="Fechado"/>
    <x v="0"/>
    <m/>
  </r>
  <r>
    <s v="FB0114818"/>
    <s v="placa de identificação "/>
    <x v="1"/>
    <s v="Criar placas de identificação para as bombas de vácuo da PKD _x000a_Como segue exemplo _x000a_Bomba vácuo  1 _x000a_Bomba vácuo 2 _x000a_Bomba vácuo 3 _x000a_Bomba vácuo. Backup_x000a_ Ideia discutida com Pedro Ferreira "/>
    <s v="Patrick Pessoa"/>
    <s v="Pequena mudança local"/>
    <x v="0"/>
    <x v="239"/>
    <x v="1"/>
    <d v="2025-08-15T08:19:50"/>
    <s v="Pedro Ferreira"/>
    <s v="IDEIAS-VACUO"/>
    <d v="2025-08-15T08:19:50"/>
    <s v="Fechado"/>
    <x v="0"/>
    <m/>
  </r>
  <r>
    <s v="FB0114872"/>
    <s v="Instalação de suspiro Nas balança cafe torrado"/>
    <x v="3"/>
    <s v="_x000a_Descrição da Situação Atual:_x000a_Na planta, existem duas balanças utilizadas na blendagem de café. A balança ( Linha Modelo) possui um suspiro (filtro metálico de ventilação) que permite a troca de ar e alívio da pressão interna, mantendo um ambiente seco e estável._x000a__x000a_A balança que será replicado, por outro lado, não possui suspiro, o que tem causado os seguintes problemas operacionais e de qualidade:_x000a__x000a_Formação de suor (condensação) no interior da balança;_x000a_Desenvolvimento de bolor, devido ao ambiente úmido e fechado;_x000a_Aumento de ponto de atenção nessa área, afetando sua qualidade e estabilidade;_x000a_Risco de desclassificação do produto por não atender aos padrões exigidos e entre outros._x000a_Proposta de Melhoria:_x000a_Replicar nas balanças o mesmo modelo de suspiro utilizado na balança MODELO. O suspiro será instalado na parte lateral das balança, permitindo a ventilação e prevenindo acúmulo de vapor e umidade._x000a__x000a_✅ Benefícios Esperados:_x000a_Eliminação de suor e bolor no interior da balança;_x000a_Preservação da qualidade do café, evitando aumento indesejado de umidade;_x000a_Redução de riscos sanitários e contaminação por fungos;_x000a_Estabilização do processo de pesagem entre as balanças;_x000a_Menor necessidade de retrabalho e descarte de produto._x000a_Recursos Necessários:_x000a_Algumas unidade de suspiro metálico com tela de ventilação (modelo igual ao da balança foto 3);_x000a_Parafusos e junta de vedação;_x000a_Apoio da equipe de manutenção para instalação segura"/>
    <s v="Edvaldo Silva"/>
    <s v="Pequena mudança local"/>
    <x v="3"/>
    <x v="240"/>
    <x v="2"/>
    <d v="2026-03-23T13:19:05"/>
    <s v="Ana Martins"/>
    <s v="IDEIAS-PROCESSOS"/>
    <m/>
    <s v="Aguardando Execução "/>
    <x v="0"/>
    <m/>
  </r>
  <r>
    <s v="FB0114999"/>
    <s v="colocar uma câmera na caçamba de película do torrador 2"/>
    <x v="3"/>
    <s v="Na foto acima temos a possibilidade de acompanhar as caçambas do torrador 1e3 , o que nos auxilia muito afim de se evitar a obstrução das roscas inclinada e plana de película,a ideia é colocar uma câmera na caçamba do torrador 2 tbm pois em determinados momentos, como absenteísmo horário de refeições é comum estarmos somente com 1 dos operadores, evitando assim entupimento do ciclone torrador o que quando acontece gera grande impacto por parada_x000a_Se uma caçamba de película enche e o sensor não atuar gera acúmulo de película nas roscas plana e inclinada e em sequência o entupimento do ciclone de torra o qual gera grande impacto na produção,pois é necessário encerrar o torrador para resolver o problema _x000a__x000a_------------------------_x000a_Pedro Ferreira: Precisamos definir o local exato."/>
    <s v="Eduardo Candido"/>
    <s v="Pequena mudança local"/>
    <x v="2"/>
    <x v="241"/>
    <x v="2"/>
    <d v="2026-03-10T10:51:56"/>
    <s v="Ana Martins"/>
    <s v="IDEIAS-PROCESSOS"/>
    <m/>
    <s v="Aguardando Orçamento"/>
    <x v="0"/>
    <m/>
  </r>
  <r>
    <s v="FB0115057"/>
    <s v="Realizar melhoria na caixa de jogada de big bag"/>
    <x v="2"/>
    <s v="Colocar uma chapa por dentro da porta para não jogar café fora (cada grão conta). _x000a__x000a_MANUTENÇÃO: ESTÁ VAZANDO COM A PORTA FECHADA? VERIFICAR SE SIM ETIQUETA!"/>
    <s v="Nilton F Costa"/>
    <s v="Pequena mudança local"/>
    <x v="4"/>
    <x v="242"/>
    <x v="8"/>
    <d v="2026-03-16T15:02:46"/>
    <m/>
    <s v="IDEIAS-CAFÉ CRÚ"/>
    <m/>
    <s v="Resolvido"/>
    <x v="0"/>
    <m/>
  </r>
  <r>
    <s v="FB0115058"/>
    <s v="Plataforma para organização de 5S para lonas e big bags"/>
    <x v="2"/>
    <s v="Fazer uma plataforma de chapa para colocar lonas e big bags (70 cmx70cm por 60 cm de largura) "/>
    <s v="Nilton F Costa"/>
    <s v="Pequena mudança local"/>
    <x v="0"/>
    <x v="243"/>
    <x v="8"/>
    <d v="2026-07-02T13:58:56"/>
    <s v="Valeria Yanez"/>
    <s v="APROVADORES DE IDEIAS"/>
    <m/>
    <s v="Resolvido"/>
    <x v="0"/>
    <m/>
  </r>
  <r>
    <s v="FB0115059"/>
    <s v="Armário para guardar medidor de umidade de Cavaco "/>
    <x v="3"/>
    <s v="Fazer um armário para guardar o medidor de umidade de cavaco fixado na parede, com intuito de facilitar a locomoção, auxiliando na ergonomia. Além disso, é importante retirá-lo da poeira para que não danifique o material. "/>
    <s v="Nilton F Costa"/>
    <s v="Pequena mudança local"/>
    <x v="0"/>
    <x v="244"/>
    <x v="8"/>
    <d v="2026-04-20T17:45:51"/>
    <s v="Valeria Yanez"/>
    <s v="IDEIAS-CAFÉ CRÚ"/>
    <m/>
    <s v="Aguardando Execução "/>
    <x v="0"/>
    <m/>
  </r>
  <r>
    <s v="FB0115060"/>
    <s v="Confeccionar ganchos para segurança da empilhadeira de jogada de cavaco"/>
    <x v="0"/>
    <s v="Colocar 2 ganchos com duas correntes (1 em cada), com intuito de facilitar para o operador, visto que o operador para passar a corrente na torre da empilhadeira tem que fazer de forma manual, causando risco de prensar os dedos e gerar acidente. _x000a__x000a_SHE: estamos com o plano de eliminar os ganchos da fábrica. A implementação do gancho não será possível. Estamos em negociação com o fornecedor que aluga as empilhadeiras de termos um dispositivo que vai girar a lança em 360°. Ideia não aprovada."/>
    <s v="Nilton F Costa"/>
    <s v="Pequena mudança local"/>
    <x v="1"/>
    <x v="245"/>
    <x v="8"/>
    <d v="2025-07-24T09:21:15"/>
    <m/>
    <s v="IDEIAS-CAFÉ CRÚ"/>
    <d v="2025-07-24T09:21:15"/>
    <s v="Cancelado"/>
    <x v="0"/>
    <m/>
  </r>
  <r>
    <s v="FB0115440"/>
    <s v="Adicionar o subcódigo de &quot;Bailarina&quot; nas Fabrimas"/>
    <x v="2"/>
    <s v="Ideia da Ângela: Incluir o apontamento da bailarina na lista de códigos_x000a__x000a_Relton: Realizado! "/>
    <s v="Michelle Faria"/>
    <s v="Pequena mudança local"/>
    <x v="4"/>
    <x v="246"/>
    <x v="0"/>
    <d v="2025-10-31T15:40:24"/>
    <s v="Relton Moraes"/>
    <s v="APROVADORES DE IDEIAS"/>
    <m/>
    <s v="Resolvido"/>
    <x v="1"/>
    <m/>
  </r>
  <r>
    <s v="FB0115519"/>
    <s v="ter uma balança fixa no empacotamento "/>
    <x v="3"/>
    <s v="Para melhor manejo com resto de bobinas ou bobinas com defeito, para também pesar os rejeitos( CGC), rejeito orgânico e embalagens._x000a__x000a_-------------------------------------------_x000a_"/>
    <s v="Ruth  Alves"/>
    <s v="Pequena mudança local"/>
    <x v="1"/>
    <x v="247"/>
    <x v="0"/>
    <d v="2026-01-29T13:43:28"/>
    <s v="Pedro Ferreira"/>
    <s v="APROVADORES DE IDEIAS"/>
    <m/>
    <s v="Aguardando Aprovação de CAPEX"/>
    <x v="0"/>
    <m/>
  </r>
  <r>
    <s v="FB0115629"/>
    <s v="substituição da corda de despejar cavaco para uma cinta "/>
    <x v="0"/>
    <s v="Precisamos substituir a corda utilizada para despejar o cavaco por uma cinta de catraca automática, pois assim evitaremos que a corda se solte por completo danificando a corda e a empilhadeira. Para essa substituição iremos precisar de uma cinta de carga de catraca automática e instalação de 2 suportes nesses locais demarcados_x000a__x000a_SHE: reprovado. Estamos desenvolvendo outro mecanismo para esta atividade."/>
    <s v="Nilton F Costa"/>
    <s v="Pequena mudança local"/>
    <x v="1"/>
    <x v="248"/>
    <x v="8"/>
    <d v="2025-09-10T10:43:24"/>
    <m/>
    <s v="IDEIAS-CAFÉ CRÚ"/>
    <d v="2025-09-10T10:43:24"/>
    <s v="Cancelado"/>
    <x v="0"/>
    <m/>
  </r>
  <r>
    <s v="FB0115697"/>
    <s v="obter algum carrinho ou algo para ajudar virar os tambores de rejeitos na caçamba "/>
    <x v="2"/>
    <s v="Os tambores de rejeitos são bem pesados, se tivesse algum item que pudesse ajudar a virar dentro da caçamba colaboraria com os funcionários."/>
    <s v="Ruth  Alves"/>
    <s v="Pequena mudança local"/>
    <x v="1"/>
    <x v="249"/>
    <x v="0"/>
    <d v="2025-10-03T10:17:15"/>
    <m/>
    <s v="APROVADORES DE IDEIAS"/>
    <m/>
    <s v="Resolvido"/>
    <x v="0"/>
    <m/>
  </r>
  <r>
    <s v="FB0115773"/>
    <s v="ponto de tomada "/>
    <x v="2"/>
    <s v="Ponto de tomada para a limpeza dos moinhos durante a preventiva, pois hoje precisa usar extensão, ponto de tomada fica longe e ponto de energia do moinho fica bloqueado no lototo"/>
    <s v="Luiz H Silva"/>
    <s v="Pequena mudança local"/>
    <x v="2"/>
    <x v="250"/>
    <x v="3"/>
    <d v="2026-07-07T14:19:50"/>
    <s v="Wallace Pereira"/>
    <s v="APROVADORES DE IDEIAS"/>
    <m/>
    <s v="Resolvido"/>
    <x v="0"/>
    <m/>
  </r>
  <r>
    <s v="FB0115840"/>
    <s v="Cilindro pneumatico da Raumak "/>
    <x v="2"/>
    <s v="O componente pneumatico possui um cabo é um sensor que é ligado no mordente horizontal da Raumak que conforme ele acende ou apaga os mordente horizontal faz o movimento de abrir é fechar, Devido de ter paradas não planejadas é prejudiciar o mtbf e o GE,Minha sugestão é que se possível colocar no CL o posicionamento do sensor para que ao operador conferir no CL é olhar saber se está de acordo com a marcação que devia para ter uma performance perfeita do componente, Se não estiver certo o operador da linha irá saber devido ao CL é terá como evitar que a máquina tenha muitas paradas nao planejadas é será questáo de segundos para saber resolver, Eu Irwin tambem fazer uma Lup para que o proprio operador saiba resolver é como mexer._x000a__x000a_Relton: Ideia será realizada assim que possível "/>
    <s v="Emilly Silva"/>
    <s v="Pequena mudança local"/>
    <x v="4"/>
    <x v="251"/>
    <x v="0"/>
    <d v="2026-07-08T10:24:14"/>
    <s v="Relton Moraes"/>
    <s v="APROVADORES DE IDEIAS"/>
    <m/>
    <s v="Resolvido"/>
    <x v="0"/>
    <m/>
  </r>
  <r>
    <s v="FB0115852"/>
    <s v="colocar escada na do CIL "/>
    <x v="2"/>
    <s v="Acrescentar no relatórios do CIL verificação da escada todo início dos turno "/>
    <s v="Edvan Santos"/>
    <s v="Pequena mudança local"/>
    <x v="0"/>
    <x v="252"/>
    <x v="11"/>
    <d v="2025-11-05T08:48:24"/>
    <s v="Bianca Silva"/>
    <s v="IDEIAS-PROCESSOS"/>
    <m/>
    <s v="Resolvido"/>
    <x v="0"/>
    <m/>
  </r>
  <r>
    <s v="FB0115902"/>
    <s v="janelas abertas "/>
    <x v="0"/>
    <s v="Janelas abertas , tempo de chuva molha o piso e até mesmo o café que se refere no estoque…"/>
    <s v="Michel Felipe da Silva Pio"/>
    <s v="Pequena mudança local"/>
    <x v="0"/>
    <x v="253"/>
    <x v="10"/>
    <d v="2025-10-29T10:40:56"/>
    <m/>
    <s v="IDEIAS-LOGÍSTICA"/>
    <d v="2025-10-29T10:40:56"/>
    <s v="Cancelado"/>
    <x v="0"/>
    <m/>
  </r>
  <r>
    <s v="FB0115989"/>
    <s v="Proteção mecânica e/ou sinalização vertical da mesoestrutura"/>
    <x v="2"/>
    <s v="Fixação de borracha EVA, nas cores preta / amarela, no formato cantoneira, nas quinas da mesoestrutura (pilares centrais e perimetrais) do galpão (café cru), afim de oferecer proteção mecânica e/ou sinalização vertical contra eventuais imperícias na operação da empilhadeira, minimizando e/ou evitando, portanto, sinistros no equipamento e/ou concreto armado._x000a__x000a_SHE: aprovado._x000a__x000a_Jhonnathan Rufini: Qualidade aprovou, contanto que seja monitorado a integridade da borracha."/>
    <s v="Felipe Cuzzuol"/>
    <s v="Pequena mudança local"/>
    <x v="1"/>
    <x v="254"/>
    <x v="8"/>
    <d v="2026-01-19T09:17:37"/>
    <s v="Jhonnathan Pereira"/>
    <s v="IDEIAS-CAFÉ CRÚ"/>
    <m/>
    <s v="Resolvido"/>
    <x v="0"/>
    <m/>
  </r>
  <r>
    <s v="FB0116120"/>
    <s v="ideia de melhoria no torrador 2"/>
    <x v="2"/>
    <s v=" A ideia e implementar uma porta de acesso para inspeção e limpeza após lavagem das câmaras de torra,no torrador 2 do mesmo modo que já existe no torrador 1_x000a__x000a_Pedro Ferreira: Ideia aprovada pela Engenharia, foi discutida que é possível que a manutenção execute, visto que o Lucas Carvalho que realizou na linha modelo."/>
    <s v="Eduardo Candido"/>
    <s v="Pequena mudança local"/>
    <x v="2"/>
    <x v="255"/>
    <x v="2"/>
    <d v="2026-05-19T09:06:17"/>
    <s v="Ana Martins"/>
    <s v="IDEIAS-PROCESSOS"/>
    <m/>
    <s v="Resolvido"/>
    <x v="0"/>
    <m/>
  </r>
  <r>
    <s v="FB0116136"/>
    <s v="troca a fechadura da porta na sala da moagem "/>
    <x v="0"/>
    <s v="A ideia é armazenar os material da moagem tudo nesse armário todo tipo de chave e utensílios _x000a_Arrumar uma chave para cada op ter o controle do utensílio e ferramentas, tendo uma chave reserva no adm da produção _x000a_Nele podemos deixar até as chaves que tem no armário da moagem, colocarmos uns tapetes para moldarmos onde vai ficar cada chave _x000a_E os utensílios "/>
    <s v="Alex Teixeira"/>
    <s v="Pequena mudança local"/>
    <x v="0"/>
    <x v="256"/>
    <x v="3"/>
    <d v="2025-09-08T11:21:52"/>
    <m/>
    <s v="IDEIAS-PROCESSOS"/>
    <d v="2025-09-08T11:21:52"/>
    <s v="Cancelado"/>
    <x v="0"/>
    <m/>
  </r>
  <r>
    <s v="FB0116175"/>
    <s v="Alteração CIL SEMANAL "/>
    <x v="1"/>
    <s v="Alteração na limpeza dos ciclones,não consegui utilizar o varre mesa por alta temperatura,avaliar uso de ar comprimido _x000a_Limpeza dos despredador não utiliza pano úmido _x000a_Carrinho inox,avaliar a limpeza para o CIL MENSAL,realizando uma limpeza detalhada interna e externa _x000a_Avaliar limpeza do mezanino,se possível conseguir um aspirador de pó menor pra facilitar o acesso do mesmo_x000a_Alterar a descrição da limpeza dos coletores de rejeito dos Cablevey _x000a_Aspirador de pó,temos apenas aspirador de água,alterar descrição _x000a_Retirar espátula da descrição dos itens do supervisorio _x000a_Item da LUP 07-13312 não existe descrição do item!"/>
    <s v="Lucas Vaz"/>
    <s v="Pequena mudança local"/>
    <x v="4"/>
    <x v="257"/>
    <x v="2"/>
    <d v="2025-11-05T08:49:52"/>
    <s v="Bianca Silva"/>
    <s v="IDEIAS-PROCESSOS"/>
    <d v="2025-11-05T08:49:52"/>
    <s v="Fechado"/>
    <x v="0"/>
    <m/>
  </r>
  <r>
    <s v="FB0116176"/>
    <s v="QUADRO Ferramentas TORRADORES "/>
    <x v="0"/>
    <s v="Reformular o quadro de ferramentas,operação adquiriu ferramentas,deixar no quadro apenas itens que a operação não possui _x000a__x000a_Pedro Ferreira: Lucas, estamos com uma ideia em aberto para que esse quadro seja destinado somente a Moagem, visto que os operadores dos torradores, já tem as maletas de ferramentas, assim, será realizado uma reformulação nele com as ferramentas que a moagem precisa. "/>
    <s v="Lucas Vaz"/>
    <s v="Pequena mudança local"/>
    <x v="0"/>
    <x v="258"/>
    <x v="2"/>
    <d v="2025-09-05T13:16:16"/>
    <m/>
    <s v="IDEIAS-PROCESSOS"/>
    <d v="2025-09-05T13:16:16"/>
    <s v="Cancelado"/>
    <x v="0"/>
    <m/>
  </r>
  <r>
    <s v="FB0116709"/>
    <s v="Aparelho (NÍVEL DE BOLHA) auxiliar na operação da empilhadeira"/>
    <x v="0"/>
    <s v="Fixar nível de bolha na coluna ou grade da torre da empilhadeira, ao alcance da visão do operador, sem comprometimento mecânico, exclusivamente afim de otimizar a sua operação, com segurança e precisão, agilizando atividades diárias onde precisamos que a coluna do equipamento esteja perfeitamente alinhada, formando um ângulo de 90 graus com o plano do chão "/>
    <s v="Felipe Cuzzuol"/>
    <s v="Pequena mudança local"/>
    <x v="2"/>
    <x v="259"/>
    <x v="8"/>
    <d v="2025-10-13T12:58:54"/>
    <m/>
    <s v="IDEIAS-CAFÉ CRÚ"/>
    <d v="2025-10-13T12:58:54"/>
    <s v="Cancelado"/>
    <x v="0"/>
    <m/>
  </r>
  <r>
    <s v="FB0116741"/>
    <s v="implantar uma câmera na caçamba de película do torrador 2 "/>
    <x v="0"/>
    <s v="Nós torradores 1 e3 já existem câmeras que possibilitam o acesso as caçambas faltando apenas no torrador 2._x000a_Se uma caçamba de película enche e o sensor não atuar gera acúmulo de película nas roscas plana e inclinada e em sequência o entupimento do ciclone de torra o qual gera grande impacto na produção,pois é necessário encerrar o torrador para resolver o problema "/>
    <s v="Eduardo Candido"/>
    <s v="Pequena mudança local"/>
    <x v="2"/>
    <x v="260"/>
    <x v="2"/>
    <d v="2025-09-08T11:00:56"/>
    <m/>
    <s v="IDEIAS-PROCESSOS"/>
    <d v="2025-09-08T11:00:56"/>
    <s v="Cancelado"/>
    <x v="0"/>
    <m/>
  </r>
  <r>
    <s v="FB0116922"/>
    <s v="na PKD não tem um acessório específico para apertar  as aparas ."/>
    <x v="2"/>
    <s v="na PKD não tem um acessório específico para apertar  as aparas .esta sendo usado utensílios de limpeza na área para essa finalidade , poderia alinhar com a manutenção para fazer uma chapa arredondada de aço , com um cabo , para ser usada nas aparas ._x000a__x000a_SHE: reprovado. Improvisação de ferramentas. Não há resgistro fotografico da ideia._x000a__x000a_Pedro Ferreira: É necessário verificar qual a ferramenta ideal para essa ação. Porém, precisamos de mais informação. "/>
    <s v="Angela Santos"/>
    <s v="Pequena mudança local"/>
    <x v="3"/>
    <x v="261"/>
    <x v="7"/>
    <d v="2025-10-30T08:53:58"/>
    <s v="Pedro Ferreira"/>
    <s v="APROVADORES DE IDEIAS"/>
    <m/>
    <s v="Resolvido"/>
    <x v="0"/>
    <m/>
  </r>
  <r>
    <s v="FB0117028"/>
    <s v="Estação de Limpeza para área das fornalhas"/>
    <x v="2"/>
    <s v="Sugestão de criação de uma estação de limpeza idem a das fabrimas para a área da fornalha, para melhor controle e monitoramento dos utensílios de limpeza da área, com suporte para Vassouras, Varre mesa, pá e enxada de limpeza interna das fornalhas."/>
    <s v="Vinicius De Oliveira"/>
    <s v="Pequena mudança local"/>
    <x v="0"/>
    <x v="262"/>
    <x v="2"/>
    <d v="2026-09-01T10:43:45"/>
    <s v="Aline Fernandes"/>
    <s v="APROVADORES DE IDEIAS"/>
    <m/>
    <s v="Resolvido"/>
    <x v="0"/>
    <m/>
  </r>
  <r>
    <s v="FB0117052"/>
    <s v="Elevador de pequeno porte "/>
    <x v="0"/>
    <s v="A ideia é colocar um elevador pequeno pra ajudar a subir coisas pesadas até o alto dos silos nos dias de limpeza — tipo aspirador, caixa de ferramenta e os sacos cheios de café que saem das limpezas das peneiras._x000a__x000a_Pedro Ferreira: Ao ponto de vista de qualidade, é possível executar e não vejo risco para a segurança de alimentos, porém, é necessário garantir a limpeza do elevador._x000a__x000a_Pedro Ferreira: Ideia será CANCELADA, devido alto custo do elevador. Porém, em caso de utensílios de limpeza, como vassoura, pá e varre mesa, foi realizado um melhoria de 5S na área dos moinhos. "/>
    <s v="Rosemere Santana"/>
    <s v="Grande mudança local"/>
    <x v="1"/>
    <x v="263"/>
    <x v="0"/>
    <d v="2025-09-08T10:53:46"/>
    <m/>
    <s v="APROVADORES DE IDEIAS"/>
    <d v="2025-09-08T10:53:46"/>
    <s v="Cancelado"/>
    <x v="0"/>
    <m/>
  </r>
  <r>
    <s v="FB0117060"/>
    <s v="Retirada fio de energia do chão "/>
    <x v="1"/>
    <s v="Fio de energia no chão precisa ser retirado.Risco dos associados ao estar fazendo revisão dos  paletes de vácuo risco de tropeçar .Obs: para a eliminação de risco seria passagem aérea da fiação conforme foto e desenho anexado._x000a__x000a_ANA MARTINS: WALLACE VAI ANALISAR UMA FORMA DE TIRAR O FIO DO CHÃO"/>
    <s v="Fabio S Santos"/>
    <s v="Pequena mudança local"/>
    <x v="1"/>
    <x v="264"/>
    <x v="0"/>
    <d v="2025-10-31T10:03:10"/>
    <s v="Wallace Pereira"/>
    <s v="APROVADORES DE IDEIAS"/>
    <d v="2025-10-31T10:03:10"/>
    <s v="Fechado"/>
    <x v="0"/>
    <m/>
  </r>
  <r>
    <s v="FB0117178"/>
    <s v="parâmetros fora do Centerlining "/>
    <x v="1"/>
    <s v="Devido de ter trocado os níquel cromo horizontal e vertical para uma expressura maior, sugiro que pudesse alterar os parâmetros de temperatura da Raumak e futuramente terá que alte as das outras "/>
    <s v="Emilly Silva"/>
    <s v="Pequena mudança local"/>
    <x v="2"/>
    <x v="265"/>
    <x v="7"/>
    <d v="2025-10-30T14:36:56"/>
    <s v="Moises Costa"/>
    <s v="APROVADORES DE IDEIAS"/>
    <d v="2025-10-30T14:36:56"/>
    <s v="Fechado"/>
    <x v="0"/>
    <m/>
  </r>
  <r>
    <s v="FB0117228"/>
    <s v="Proposta de Implantação de Área de Lazer para os Associados"/>
    <x v="0"/>
    <s v="Sugere-se a criação de um espaço de lazer voltado à descontração dos colaboradores, com a instalação de uma mesa de concreto para prática de tênis de mesa na área externa. O objetivo é proporcionar momentos de relaxamento durante os intervalos de almoço e café, contribuindo para o bem-estar e a integração da equipe._x000a__x000a_A localização proposta para essa estrutura é o espaço externo com piso de brita, situado nas proximidades do Galpão 3 e da área de resíduos, aproveitando uma área atualmente ociosa e de fácil acesso."/>
    <s v="Jhonnathan Pereira"/>
    <s v="Pequena mudança local"/>
    <x v="0"/>
    <x v="266"/>
    <x v="16"/>
    <d v="2025-08-08T13:33:07"/>
    <m/>
    <s v="IDEIAS-ADMINISTRATIVO"/>
    <d v="2025-08-08T13:33:07"/>
    <s v="Cancelado"/>
    <x v="1"/>
    <m/>
  </r>
  <r>
    <s v="FB0117250"/>
    <s v="Expulsador de pacotes "/>
    <x v="3"/>
    <s v="O expulsador de pacotes da balança dinâmica da Fabrima 02 não está fixado!_x000a_Sugiro que fixe o objeto, tem momentos que quando vai fazer o cil objeto está mal posicionado _x000a__x000a_ANA MARTINS: ALEXANDRE ASSIS verificou com a operadora, a ideia e fixar a balança no chão no piso, sendo necessário quebrar o piso e fixa - la no chão, sendo assim se torna uma ideia para a Engenharia analisar! "/>
    <s v="Emilly Silva"/>
    <s v="Pequena mudança local"/>
    <x v="2"/>
    <x v="267"/>
    <x v="19"/>
    <d v="2025-11-28T11:27:18"/>
    <s v="Andre Mendes Costa"/>
    <s v="APROVADORES DE IDEIAS"/>
    <m/>
    <s v="Aguardando Aprovação de CAPEX"/>
    <x v="0"/>
    <m/>
  </r>
  <r>
    <s v="FB0117253"/>
    <s v="Fardos fica garrando na esteira "/>
    <x v="2"/>
    <s v="Fardos fica garrando na esteira e ao retirar fica difícil e tem que parar a máquina e ocasionar falhas não planejadas _x000a__x000a_Manutenção: favor verificar para abaixar a esteira "/>
    <s v="Emilly Silva"/>
    <s v="Pequena mudança local"/>
    <x v="4"/>
    <x v="268"/>
    <x v="19"/>
    <d v="2026-05-05T15:04:19"/>
    <s v="Leandro Freire"/>
    <s v="APROVADORES DE IDEIAS"/>
    <m/>
    <s v="Resolvido"/>
    <x v="0"/>
    <s v="Cancelada"/>
  </r>
  <r>
    <s v="FB0117448"/>
    <s v="Reconhecimento por tempo de empresa"/>
    <x v="0"/>
    <s v="Reconhecer os funcionários por tempo de empresa, exemplo 1 ano, 3 anos, 5 anos e 10 anos "/>
    <s v="Bianca Silva"/>
    <s v="Pequena mudança local"/>
    <x v="0"/>
    <x v="269"/>
    <x v="20"/>
    <d v="2026-01-14T10:42:26"/>
    <m/>
    <s v="IDEIAS-MELHORIA CONTÍNUA"/>
    <d v="2026-01-14T10:42:26"/>
    <s v="Cancelado"/>
    <x v="1"/>
    <m/>
  </r>
  <r>
    <s v="FB0117449"/>
    <s v="Compilado de produção Mensal"/>
    <x v="0"/>
    <s v="Enviar no grupo da Fábrica todo final de mês reconhecendo o turno que mais produziu e reconhecer com um coffee especial, janta, entre outros. "/>
    <s v="Bianca Silva"/>
    <s v="Pequena mudança local"/>
    <x v="0"/>
    <x v="270"/>
    <x v="20"/>
    <d v="2025-09-23T17:03:57"/>
    <m/>
    <s v="IDEIAS-MELHORIA CONTÍNUA"/>
    <d v="2025-09-23T17:03:57"/>
    <s v="Cancelado"/>
    <x v="1"/>
    <m/>
  </r>
  <r>
    <s v="FB0117649"/>
    <s v="Área de revisão escura "/>
    <x v="2"/>
    <s v="Colocar um ou dois refletores na área de revisão de paletes _x000a__x000a_----------------------------------------_x000a__x000a_Pedro Ferreira: Ideia aprovada pela Manutenção._x000a__x000a_Analisar se temos ponto de energia para instalar um refletor no local. (Eliézer)"/>
    <s v="Michel Felipe da Silva Pio"/>
    <s v="Pequena mudança local"/>
    <x v="2"/>
    <x v="271"/>
    <x v="10"/>
    <d v="2025-12-08T03:42:38"/>
    <s v="Ana Martins"/>
    <s v="IDEIAS-LOGÍSTICA"/>
    <m/>
    <s v="Resolvido"/>
    <x v="0"/>
    <m/>
  </r>
  <r>
    <s v="FB0117768"/>
    <s v="Adocão de equipamento para combate incêndio em superfícies com poeira"/>
    <x v="1"/>
    <s v="Aquisição de equipamento de pulverização de água para uso no combate a brasas em superfícies com poeira fina. _x000a__x000a_SHE: aprovado"/>
    <s v="Guilherme Oliveira"/>
    <s v="Pequena mudança local"/>
    <x v="1"/>
    <x v="272"/>
    <x v="22"/>
    <d v="2025-09-10T10:11:32"/>
    <m/>
    <s v="IDEIAS-SHE"/>
    <d v="2025-09-10T10:11:32"/>
    <s v="Fechado"/>
    <x v="1"/>
    <m/>
  </r>
  <r>
    <s v="FB0117769"/>
    <s v="Novo container para resíduos perigosos"/>
    <x v="1"/>
    <s v="Aquisição de novo container de 1000 litros para armazenamento temporário de resíduos perigosos, devido à insuficiência do recipiente anterior, que rapidamente atingia sua capacidade máxima. Como consequência, os resíduos acabavam sendo armazenados diretamente no chão, comprometendo a segurança e a conformidade ambiental."/>
    <s v="Samuel Camargos"/>
    <s v="Pequena mudança local"/>
    <x v="8"/>
    <x v="273"/>
    <x v="22"/>
    <d v="2025-08-14T11:29:45"/>
    <m/>
    <s v="IDEIAS-SHE"/>
    <d v="2025-08-14T11:29:45"/>
    <s v="Fechado"/>
    <x v="1"/>
    <m/>
  </r>
  <r>
    <s v="FB0117770"/>
    <s v="Instalação de placas de identificação "/>
    <x v="2"/>
    <s v="Instalação de placas de identificação em cada uma das chaminés/dumpers dos torradores localizados no telhado, visando facilitar a identificação durante inspeções e coletas de análises atmosféricas. Sugestão: uso de placas metálicas com escrita em em relevo, com letras de tamanho ampliado, a fim de garantir a legibilidade mesmo em condições de acúmulo de sujeira._x000a__x000a_SHE: Aprovado."/>
    <s v="Samuel Camargos"/>
    <s v="Pequena mudança local"/>
    <x v="8"/>
    <x v="274"/>
    <x v="32"/>
    <d v="2026-06-30T14:40:52"/>
    <s v="Jhonnathan Pereira"/>
    <s v="APROVADORES DE IDEIAS"/>
    <m/>
    <s v="Resolvido"/>
    <x v="1"/>
    <m/>
  </r>
  <r>
    <s v="FB0117771"/>
    <s v="mudança do fio da seladora de borracheiro "/>
    <x v="0"/>
    <s v="O fio da seladora está solto no chão causando alguns tropeços qdo é feito o borracheiro .. a ideia era fazer uma adaptação de modo que o fio passe por cima da seladora "/>
    <m/>
    <s v="Pequena mudança local"/>
    <x v="2"/>
    <x v="275"/>
    <x v="1"/>
    <d v="2025-08-18T10:29:05"/>
    <m/>
    <s v="IDEIAS-VACUO"/>
    <d v="2025-08-18T10:29:05"/>
    <s v="Cancelado"/>
    <x v="0"/>
    <m/>
  </r>
  <r>
    <s v="FB0117874"/>
    <s v="suporte para equipamentos café cru"/>
    <x v="1"/>
    <s v="Suporte para equipamentos para café cru(vassoura,rodo,bastão), para melhorar organização da área."/>
    <s v="Nilton F Costa"/>
    <s v="Pequena mudança local"/>
    <x v="0"/>
    <x v="276"/>
    <x v="8"/>
    <d v="2026-02-18T10:34:17"/>
    <s v="Talita Campos"/>
    <s v="IDEIAS-CAFÉ CRÚ"/>
    <d v="2026-02-18T10:34:17"/>
    <s v="Fechado"/>
    <x v="0"/>
    <m/>
  </r>
  <r>
    <s v="FB0118284"/>
    <s v="estação de carregamento de iPad na linha"/>
    <x v="1"/>
    <s v="Criar ponto para carregar os iPads nas linhas de empacotamento._x000a__x000a_"/>
    <s v="Luzia Rodrigues"/>
    <s v="Pequena mudança local"/>
    <x v="0"/>
    <x v="277"/>
    <x v="0"/>
    <d v="2025-09-09T11:18:17"/>
    <s v="Relton Moraes"/>
    <s v="APROVADORES DE IDEIAS"/>
    <d v="2025-09-09T11:18:17"/>
    <s v="Fechado"/>
    <x v="1"/>
    <m/>
  </r>
  <r>
    <s v="FB0118295"/>
    <s v="os pontos de centerling acima não  constam no sistema Dmoss "/>
    <x v="2"/>
    <s v=" Adicionar no CL ,esses  pontos não constam no sistema Controlador de fluxo cablevey 2.3 e 2.4 ,_x000a_Fotos acima "/>
    <s v="Eduardo Candido"/>
    <s v="Pequena mudança local"/>
    <x v="4"/>
    <x v="278"/>
    <x v="2"/>
    <d v="2026-07-10T11:31:31"/>
    <s v="Izabela Pugliesi"/>
    <s v="APROVADORES DE IDEIAS"/>
    <m/>
    <s v="Resolvido"/>
    <x v="0"/>
    <m/>
  </r>
  <r>
    <s v="FB0118445"/>
    <s v="Automatização"/>
    <x v="3"/>
    <s v="Automatização das esteiras para o robô, necessário colocar sensores de presença para que encaixotadora não mande caixas._x000a__x000a_ANA MARTINS: FOI VERIFICADO COM A MANUTENÇÃO SERÁ FEITO UMA AVALIAÇÃO PARA POSSIVEL IMPLEMENTAÇÃO."/>
    <s v="Vitor Xavier"/>
    <s v="Pequena mudança local"/>
    <x v="2"/>
    <x v="279"/>
    <x v="1"/>
    <d v="2025-09-08T10:47:29"/>
    <s v="Henrique Cardoso"/>
    <s v="IDEIAS-VACUO"/>
    <m/>
    <s v="Aguardando Execução "/>
    <x v="0"/>
    <m/>
  </r>
  <r>
    <s v="FB0118547"/>
    <s v="Pintura com métrica"/>
    <x v="3"/>
    <s v="Realizar uma pintura no chão, próximo ao portão de entrada da guarita, para que as meninas consigam identificar com facilidade a medida das carretas. Precisamos identificar se elas são menores que 12,5m ou maior que 13,5m. Time de almoxarifado fica disponível para auxiliar o pintor, em qual a melhor forma para ser feito essa pintura. "/>
    <s v="Aline Fernandes"/>
    <s v="Pequena mudança local"/>
    <x v="0"/>
    <x v="280"/>
    <x v="33"/>
    <d v="2025-10-09T13:49:12"/>
    <s v="Aline Fernandes"/>
    <s v="IDEIAS-ADMINISTRATIVO"/>
    <m/>
    <s v="Aguardando Execução "/>
    <x v="1"/>
    <m/>
  </r>
  <r>
    <s v="FB0118548"/>
    <s v="CAIXINHA PARA TOUCAS"/>
    <x v="1"/>
    <s v="Instalar uma caixinha porta toucas, próximo a porta de acesso ao almoxarifado, o time de qualidade exigiu que só podemos acessar a área utilizando touca. "/>
    <s v="Aline Fernandes"/>
    <s v="Pequena mudança local"/>
    <x v="0"/>
    <x v="281"/>
    <x v="34"/>
    <d v="2026-06-18T10:06:18"/>
    <s v="Aline Fernandes"/>
    <s v="IDEIAS-QUALIDADE"/>
    <d v="2026-06-18T10:06:18"/>
    <s v="Fechado"/>
    <x v="1"/>
    <m/>
  </r>
  <r>
    <s v="FB0118549"/>
    <s v="MOLHOS DE SALADA"/>
    <x v="1"/>
    <s v="Se possível, incluir molhos para salada ou limão já cortado, para que possamos temperar as saladas. "/>
    <s v="Aline Fernandes"/>
    <s v="Pequena mudança local"/>
    <x v="0"/>
    <x v="282"/>
    <x v="29"/>
    <d v="2025-09-08T12:59:22"/>
    <m/>
    <s v="IDEIAS-ADMINISTRATIVO"/>
    <d v="2025-09-08T12:59:22"/>
    <s v="Fechado"/>
    <x v="1"/>
    <m/>
  </r>
  <r>
    <s v="FB0118568"/>
    <s v="Bandeja da Raumak 2"/>
    <x v="3"/>
    <s v="A bandeja de contenção da Raumak 2 ao trocar a bobina da Raumak ela acaba atrapalhando um pouco por ser grande é ao tentar manusear o carrinho da bobina atrapalha um pouco, sugiro que cortasse e facilitaria ao manusear o carrinho na troca de bobina _x000a__x000a_-----------------------------------_x000a_Pedro Ferreira: Ideia será avaliada com a Manutenção, se é possível que eles realizem essa ideia. _x000a_Pedro Ferreira (09/10): Orçar com o Paulinho"/>
    <s v="Emilly Silva"/>
    <s v="Pequena mudança local"/>
    <x v="4"/>
    <x v="283"/>
    <x v="19"/>
    <d v="2026-09-17T14:24:43"/>
    <s v="Ana Martins"/>
    <s v="APROVADORES DE IDEIAS"/>
    <m/>
    <s v="Aguardando Orçamento"/>
    <x v="0"/>
    <m/>
  </r>
  <r>
    <s v="FB0118744"/>
    <s v="ARMÁRIO PARA ARMAZENAR MATERIAIS DE TREINAMENTO"/>
    <x v="1"/>
    <s v="Precisamos de um local/armário específico para armazenar os materiais de treinamento, que vão sendo elaborados e podem ser reutilizados em outros momentos. _x000a__x000a_Sugestão: talvez utilizar o armário que fica na sala Piumhi, se não estiver ocupado com outra coisa. _x000a__x000a_RETORNO 1 23/09/2025: ótima sugestão Aline, de fato precisamos. O armário da sala piumhi é uma alternativa, vou verificar se está ocupado, ou os armários do MOS Academy caso não seja possível, tão logo quanto tivermos verbas, podemos ver outras opções."/>
    <s v="Aline Fernandes"/>
    <s v="Pequena mudança local"/>
    <x v="0"/>
    <x v="284"/>
    <x v="16"/>
    <d v="2026-08-12T09:05:56"/>
    <s v="Luzia Rodrigues"/>
    <s v="APROVADORES DE IDEIAS"/>
    <d v="2026-08-12T09:05:56"/>
    <s v="Fechado"/>
    <x v="1"/>
    <m/>
  </r>
  <r>
    <s v="FB0119776"/>
    <s v="AQUISIÇÃO DE ESCADA "/>
    <x v="0"/>
    <s v="Desenvolver uma escada tipo de piscina, para que os meninos do café verde, possam entrar e sair da carreta com mais facilidade._x000a__x000a_Uma escada que seja fácil de encaixar e desencaixar da tampa da carreta. _x000a__x000a_Pedro Ferreira: Essa ideia já foi discutida, porém, o orçamento dessa escada é muito alto, considerando que seria um teste, segundo SHE. Dessa forma, a ideia será cancelada por duplicação, mas é uma excelente ideia, vamos buscar a melhor solução, qualquer dúvida, podemos discutir com time de SHE sobre. "/>
    <s v="Aline Fernandes"/>
    <s v="Pequena mudança local"/>
    <x v="1"/>
    <x v="285"/>
    <x v="20"/>
    <d v="2025-09-08T11:14:19"/>
    <m/>
    <s v="IDEIAS-MELHORIA CONTÍNUA"/>
    <d v="2025-09-08T11:14:19"/>
    <s v="Cancelado"/>
    <x v="1"/>
    <m/>
  </r>
  <r>
    <s v="FB0119798"/>
    <s v="correias das Raumak  e fabrimas "/>
    <x v="2"/>
    <s v="Colocar um sensores para q possa abrir as correias automaticamente ao abriras portas  igual a da fabrima 2_x000a__x000a_ANA MARTINS: FOI A VALIADO PELA MANUTENÇÃO, SERÁ FEITO UMA VERIFICAÇÃO SE É POSSIVEL ESSA IMPLEMENTAÇÃO!"/>
    <s v="Thais Souza"/>
    <s v="Pequena mudança local"/>
    <x v="2"/>
    <x v="286"/>
    <x v="7"/>
    <d v="2026-09-11T14:04:29"/>
    <s v="Ana Martins"/>
    <s v="APROVADORES DE IDEIAS"/>
    <m/>
    <s v="Resolvido"/>
    <x v="0"/>
    <s v="Cancelada"/>
  </r>
  <r>
    <s v="FB0119872"/>
    <s v="Armário para a guarda das malas de Ferramentas "/>
    <x v="3"/>
    <s v="Utilizar a mesa que fica a lavadora ultrassônica para criar um armário para a guarda das malas de ferramentas dos operadores  com a da imagem,_x000a_Realizar a colocação de chapas nas laterais e três divisões internas sendo uma para cada turno e portas na frente com suporte de cadeado para tranca das mesma_x000a__x000a_------------------------------------------_x000a__x000a_Pedro Ferreira: Ideia deve passar pela manufatura para decidir se podemos realizar a adaptação do armário na mesa, ou compramos outro armário, se for assim, deve definir o local do mesmo. _x000a__x000a_Pedro Ferreira: Aguardando escolha do armário, para que posteriormente, o orçamento seja solicitado. "/>
    <s v="Patrick Pessoa"/>
    <s v="Pequena mudança local"/>
    <x v="0"/>
    <x v="287"/>
    <x v="1"/>
    <d v="2025-09-12T09:53:24"/>
    <s v="Pedro Ferreira"/>
    <s v="IDEIAS-VACUO"/>
    <m/>
    <s v="Aguardando Orçamento"/>
    <x v="0"/>
    <m/>
  </r>
  <r>
    <s v="FB0119931"/>
    <s v="Adicionar o ponto &quot;Aquario&quot; no CIL da PKD"/>
    <x v="1"/>
    <s v="Adicionar o ponto do aquário do borracheiro no CIL da PKD para realizar limpezas frequentes, visto que muitas vezes o mesmo passa vários dias sujo. _x000a__x000a_(IDEIA JÁ REALIZADA)!!! "/>
    <s v="Bianca Silva"/>
    <s v="Pequena mudança local"/>
    <x v="3"/>
    <x v="288"/>
    <x v="20"/>
    <d v="2025-09-17T09:05:53"/>
    <s v="Bianca Silva"/>
    <s v="IDEIAS-MELHORIA CONTÍNUA"/>
    <d v="2025-09-17T09:05:53"/>
    <s v="Fechado"/>
    <x v="1"/>
    <m/>
  </r>
  <r>
    <s v="FB0119993"/>
    <s v="caixinha de musica"/>
    <x v="0"/>
    <s v="Instalar  Caixas de som com celular, e Bluetooth nas linhas de fabrima.        Pontos que poderiam ser instaladas as caixinhas que a acredito não gerar impacto é nem contaminação do produto. ( podendo colocar como ponto de inspeção no nosso CIL diario como ponto de qualidade)   (OBS: ideia em conjunto Raniele ,Alex , Rafael )_x000a__x000a__x000a_09/09: Solicitado aprovação das demais áreas_x000a__x000a_"/>
    <m/>
    <s v="Pequena mudança local"/>
    <x v="0"/>
    <x v="289"/>
    <x v="5"/>
    <d v="2025-09-25T15:34:19"/>
    <m/>
    <s v="APROVADORES DE IDEIAS"/>
    <d v="2025-09-25T15:34:19"/>
    <s v="Cancelado"/>
    <x v="0"/>
    <m/>
  </r>
  <r>
    <s v="FB0120217"/>
    <s v="rádio de comunicação "/>
    <x v="3"/>
    <s v="Colocar fixo nas linhas rádio de comunicação com os carregadores para chamar a manutenção, como foi implementado os tablets, que facilitou a demanda das linhas._x000a_Poderia ficar um rádio para as linhas 4 e 5, um para a 2 e 3 e um na PKD._x000a__x000a_25/09: inicialmente estamos verificando para deixar um rádio na PKD e um na Fab 4 e 5 "/>
    <m/>
    <s v="Pequena mudança local"/>
    <x v="0"/>
    <x v="290"/>
    <x v="5"/>
    <d v="2026-09-11T14:18:14"/>
    <s v="Jhonnathan Pereira"/>
    <s v="APROVADORES DE IDEIAS"/>
    <m/>
    <s v="Aguardando Orçamento"/>
    <x v="0"/>
    <m/>
  </r>
  <r>
    <s v="FB0120305"/>
    <s v="Escada na area externa da logística"/>
    <x v="0"/>
    <s v="Instalar uma escada na área destinada aos caminhões para permitir o acesso seguro dos pedestres, ajustando o trajeto de circulação para eliminar riscos de atropelamento."/>
    <s v="Jhonnathan Pereira"/>
    <s v="Pequena mudança local"/>
    <x v="1"/>
    <x v="291"/>
    <x v="35"/>
    <d v="2025-12-04T13:00:48"/>
    <m/>
    <s v="IDEIAS-LOGÍSTICA"/>
    <d v="2025-12-04T13:00:48"/>
    <s v="Cancelado"/>
    <x v="1"/>
    <m/>
  </r>
  <r>
    <s v="FB0120332"/>
    <s v="Troca de nylon do eixo da bobina da PKD"/>
    <x v="1"/>
    <s v="Nos últimos dias, foi verificado que um dos eixo (antigo), não estava encaixando corretamente no sistema de freio, assim, foi possível observar que o nylon do mesmo estava desgastado em relação ao eixo novo, dessa forma, a troca do nylon pode auxiliar nessa questão. Além disso, realizar um filete na ponta da peça, também seria algo que poderia ajudar. "/>
    <s v="Pedro Ferreira"/>
    <s v="Pequena mudança local"/>
    <x v="4"/>
    <x v="292"/>
    <x v="20"/>
    <d v="2025-09-09T13:42:55"/>
    <s v="Pedro Ferreira"/>
    <s v="IDEIAS-MELHORIA CONTÍNUA"/>
    <d v="2025-09-09T13:42:55"/>
    <s v="Fechado"/>
    <x v="1"/>
    <m/>
  </r>
  <r>
    <s v="FB0120790"/>
    <s v="Teto PKD Roda De Espigões/Mandris "/>
    <x v="3"/>
    <s v="Realizar a troca dos acrílicos do teto da roda de espigões por grelhas com exemplo a foto da roda de vácuo._x000a_Ideia discutida com o Manutentor Alexandre Oliveira e tivemos aprovação do mesmo._x000a_Foi também discutida com o Time de Qualidade Ruth e Angelina e tivemos a aprovação com seguintes a apresentação do material a ser utilizado com espessura e diâmetro da grelha afim de evitar a entrada de insetos e aí mesmo cair objetos em possíveis manutenção._x000a_OBS detalhes da ideia e a utilização de grelha metálica  com dimensões pequenas caso não tenha vai ser utilizado uma grelha convencional com tela de mosquiteiro de alumínio para diminuir o tamanho dos furos da grelha ._x000a_OBJETIVO DA IDEIA E GARANTIR MAIOR REFRIGERAÇÃO DA RODA DE MANDRIS PARA EVITAR PROBLEMAS DE SUPRE AQUECIMENTO DOS MANDRIS E A NÃO SAÍDA DA EMBALAGEM DOS MESMOS OCORRENDO PARA DE MÁQUINA _x000a__x000a_Pessoal, sobre esta ideia, mesmo com as áreas que foram aprovados tem o projeto PIX que tivemos investimento para funcionamento de ar condicionado, se trabalharmos com grades, temos que desablitar os ar condicionados pois eles não farão mais a função de refrigerar visto que ficaremos com a área aberta de ventilação. (Eliézer)_x000a__x000a_Manufatura: pessoal, esta ideia ainda se mantém com a instalação do ar que foi recolocado na roda de mandril ?_x000a_Entendo também assim com o Eliezer de que não tem como executar esta ideia com o ar condicionado lá na roda de mandril, temos que optar por um dos dois._x000a__x000a_Responsáveis:Patrick Pessoa.  Alexandre"/>
    <s v="Patrick Pessoa"/>
    <s v="Pequena mudança local"/>
    <x v="2"/>
    <x v="293"/>
    <x v="1"/>
    <d v="2025-12-15T15:41:49"/>
    <m/>
    <s v="IDEIAS-VACUO"/>
    <m/>
    <s v="Aguardando Execução "/>
    <x v="0"/>
    <s v="CANCELADO"/>
  </r>
  <r>
    <s v="FB0120971"/>
    <s v="Substituir os parafusos de fixação allen por parafuso borboleta PKD"/>
    <x v="2"/>
    <s v="Substituir os parafusos de fixação Allen por parafuso borboleta pois quando e necessário ajusta a fotocélula tem que retirar esses parafuso ajustar e colocar novamente_x000a_Colocando os parafusos borboleta facilita essa retirada pois não ira precisar de chave."/>
    <s v="Relton Moraes"/>
    <s v="Pequena mudança local"/>
    <x v="4"/>
    <x v="294"/>
    <x v="0"/>
    <d v="2026-07-03T10:57:44"/>
    <m/>
    <s v="APROVADORES DE IDEIAS"/>
    <m/>
    <s v="Resolvido"/>
    <x v="1"/>
    <m/>
  </r>
  <r>
    <s v="FB0120974"/>
    <s v="Colocar um vacuômetro na saída das bombas de Vacuo de palhetas PKD"/>
    <x v="3"/>
    <s v="Colocar um vacuômetro na saída das bombas de Vácuo de palhetas da PKD para podermos visualizar qual o vácuo gerado pela bomba_x000a__x000a_Arthur participou da ideia  _x000a__x000a_-----------------------------_x000a_Pedro Ferreira: Analisar com Arthur se é possível a realização da ideia, para isso, Leandro deve programar um tempo, para que o Arthur vá até la. Tentar fazer semelhante ao da correia de arraste. "/>
    <s v="Relton Moraes"/>
    <s v="Pequena mudança local"/>
    <x v="4"/>
    <x v="295"/>
    <x v="1"/>
    <d v="2026-08-10T14:05:36"/>
    <s v="Anderson Santana"/>
    <s v="APROVADORES DE IDEIAS"/>
    <m/>
    <s v="Aguardando Execução "/>
    <x v="1"/>
    <m/>
  </r>
  <r>
    <s v="FB0121030"/>
    <s v="Alteração no CIL da PKD (ideia já executada)"/>
    <x v="1"/>
    <s v="Ao inves das LUP de CIL da PKD colocar a IT - Para os pontos Q's de peças críticas "/>
    <s v="Bianca Silva"/>
    <s v="Pequena mudança local"/>
    <x v="3"/>
    <x v="296"/>
    <x v="1"/>
    <d v="2025-09-17T09:33:27"/>
    <m/>
    <s v="IDEIAS-VACUO"/>
    <d v="2025-09-17T09:33:27"/>
    <s v="Fechado"/>
    <x v="1"/>
    <m/>
  </r>
  <r>
    <s v="FB0121056"/>
    <s v="Mudança no CIL Mensal dos torradores (Ideia já realizada) "/>
    <x v="1"/>
    <s v="Colocar nome no item da LUP 07-13.312 (peças criticas) "/>
    <s v="Bianca Silva"/>
    <s v="Pequena mudança local"/>
    <x v="3"/>
    <x v="297"/>
    <x v="2"/>
    <d v="2025-09-17T09:34:02"/>
    <m/>
    <s v="IDEIAS-PROCESSOS"/>
    <d v="2025-09-17T09:34:02"/>
    <s v="Fechado"/>
    <x v="1"/>
    <m/>
  </r>
  <r>
    <s v="FB0121151"/>
    <s v="Inspeção no torrador 3 após Modo de emergência "/>
    <x v="3"/>
    <s v="Realizar inspeção no torrador 3 na parte do esfriador do peneirão após ativação Modo de segurança._x000a_A ideia é toda vez que estabilizar o torrador 3, realizar inspeção no esfriador, pois há vários registro que algumas ocorrências geram fagulha nessa área, pois dentro do esfriador contém películas armazenadas pelo processo de resfriamento do café e com contato de brasas geram registro de princípio de incêndio. E para não gerar essas ocorrências a ideia é toda vez que finalizar Modo de segurança realizar uma inspeção antes de qualquer partida._x000a__x000a_SHE: aprovado. "/>
    <s v="Edvaldo Silva"/>
    <s v="Pequena mudança local"/>
    <x v="1"/>
    <x v="298"/>
    <x v="2"/>
    <d v="2026-08-17T09:05:22"/>
    <s v="Flavia Silveira"/>
    <s v="APROVADORES DE IDEIAS"/>
    <m/>
    <s v="Aguardando Execução "/>
    <x v="0"/>
    <m/>
  </r>
  <r>
    <s v="FB0121407"/>
    <s v="instalação de caixa para carregador "/>
    <x v="2"/>
    <s v="instalação de caixa para o carregador das tablets que os operadores na área da moagem e dos torradores utiliza diariamente "/>
    <m/>
    <s v="Pequena mudança local"/>
    <x v="0"/>
    <x v="299"/>
    <x v="3"/>
    <d v="2025-10-20T09:23:34"/>
    <s v="Leandro Freire"/>
    <s v="IDEIAS-PROCESSOS"/>
    <m/>
    <s v="Resolvido"/>
    <x v="0"/>
    <m/>
  </r>
  <r>
    <s v="FB0121420"/>
    <s v="Atualização do Documento PLA-03-118-Faixa de umidade torradores "/>
    <x v="1"/>
    <s v="O documento PLA-03-118, que define as faixas de umidade para o controle de qualidade, está desatualizado. As faixas utilizadas atualmente foram alteradas, mas o documento ainda não foi revisado._x000a_Sugestão:_x000a_Atualizar o documento com as faixas de umidade vigentes, garantindo alinhamento entre prática e documentação._x000a_Benefícios:_x000a_Evita não conformidades;_x000a_Facilita o trabalho das equipes;_x000a_Garante a padronização e confiabilidade dos processos."/>
    <s v="Edvaldo Silva"/>
    <s v="Pequena mudança local"/>
    <x v="3"/>
    <x v="300"/>
    <x v="2"/>
    <d v="2025-10-15T14:03:42"/>
    <s v="Tais Costa"/>
    <s v="IDEIAS-PROCESSOS"/>
    <d v="2025-10-15T14:03:42"/>
    <s v="Fechado"/>
    <x v="0"/>
    <m/>
  </r>
  <r>
    <s v="FB0121423"/>
    <s v="Incluir Limpeza na parte superior do tanque água torrador 01"/>
    <x v="1"/>
    <s v="Na parte superior do tanque de água do torrador 01 não existe mapeamento no CIL para realizar limpezas seja diária, semanal ou mensal._x000a_A ideia é incluir nas rotinas mensais do CIL por ser devido trabalho em altura "/>
    <s v="Edvaldo Silva"/>
    <s v="Pequena mudança local"/>
    <x v="4"/>
    <x v="301"/>
    <x v="2"/>
    <d v="2025-11-05T08:49:32"/>
    <s v="Bianca Silva"/>
    <s v="IDEIAS-PROCESSOS"/>
    <d v="2025-11-05T08:49:32"/>
    <s v="Fechado"/>
    <x v="0"/>
    <m/>
  </r>
  <r>
    <s v="FB0121542"/>
    <s v="MUDAR BALANÇA DE LOCAL"/>
    <x v="0"/>
    <s v="Retirar a balança que fica no café verde e colocar no cavaco, ela é usada para pesar as peneiras de análise daas cargas de cavaco, raramente é utilizada pelo time de café verde. "/>
    <s v="Aline Fernandes"/>
    <s v="Pequena mudança local"/>
    <x v="0"/>
    <x v="302"/>
    <x v="20"/>
    <d v="2025-09-29T09:33:14"/>
    <m/>
    <s v="IDEIAS-MELHORIA CONTÍNUA"/>
    <d v="2025-09-29T09:33:14"/>
    <s v="Cancelado"/>
    <x v="1"/>
    <m/>
  </r>
  <r>
    <s v="FB0121543"/>
    <s v="INSTALAR GANCHOS PARA CABOS BRASMO"/>
    <x v="1"/>
    <s v="Instalar ganchos para pendurar os cabos da Brasmo e ficar mais organizado e acessível o estoque ._x000a__x000a_-----------------------_x000a_Pedro Ferreira: Aline, preciso de mais informações, do tipo de gancho e local, se puder adicionar fotos, iria ajudar."/>
    <s v="Aline Fernandes"/>
    <s v="Pequena mudança local"/>
    <x v="0"/>
    <x v="303"/>
    <x v="16"/>
    <d v="2025-10-31T14:11:13"/>
    <s v="Aline Fernandes"/>
    <s v="IDEIAS-ADMINISTRATIVO"/>
    <d v="2025-10-31T14:11:13"/>
    <s v="Fechado"/>
    <x v="1"/>
    <m/>
  </r>
  <r>
    <s v="FB0121596"/>
    <s v="Alteração no CIL da PKD (ideia já executada)"/>
    <x v="1"/>
    <s v="Colocar os utensilios Varremesa e aspirador de Pó na atividade de Ejetor de pacotes defeituosos "/>
    <s v="Bianca Silva"/>
    <s v="Pequena mudança local"/>
    <x v="2"/>
    <x v="304"/>
    <x v="1"/>
    <d v="2025-09-22T13:11:00"/>
    <m/>
    <s v="IDEIAS-VACUO"/>
    <d v="2025-09-22T13:11:00"/>
    <s v="Fechado"/>
    <x v="1"/>
    <m/>
  </r>
  <r>
    <s v="FB0121598"/>
    <s v="Alteração no CIL da PKD (ideia já executada)"/>
    <x v="1"/>
    <s v="Colocar o item &quot;Dosadores&quot; no CIL da PKD. "/>
    <s v="Bianca Silva"/>
    <s v="Pequena mudança local"/>
    <x v="3"/>
    <x v="305"/>
    <x v="1"/>
    <d v="2025-09-22T13:13:59"/>
    <m/>
    <s v="IDEIAS-VACUO"/>
    <d v="2025-09-22T13:13:59"/>
    <s v="Fechado"/>
    <x v="1"/>
    <m/>
  </r>
  <r>
    <s v="FB0121599"/>
    <s v="Alteração no CIL da PKD (ideia já executada)"/>
    <x v="1"/>
    <s v="Adicionar o ponto &quot;Calha dos dosadores&quot; no CIL da PKD "/>
    <s v="Bianca Silva"/>
    <s v="Pequena mudança local"/>
    <x v="3"/>
    <x v="306"/>
    <x v="1"/>
    <d v="2025-09-22T13:13:45"/>
    <m/>
    <s v="IDEIAS-VACUO"/>
    <d v="2025-09-22T13:13:45"/>
    <s v="Fechado"/>
    <x v="1"/>
    <m/>
  </r>
  <r>
    <s v="FB0121600"/>
    <s v="Alteração no CIL da PKD (ideia já executada)"/>
    <x v="1"/>
    <s v="Adicionar o Item &quot;Chão no fim dos receptáculos&quot; "/>
    <s v="Bianca Silva"/>
    <s v="Pequena mudança local"/>
    <x v="3"/>
    <x v="307"/>
    <x v="1"/>
    <d v="2025-09-22T13:14:13"/>
    <m/>
    <s v="IDEIAS-VACUO"/>
    <d v="2025-09-22T13:14:13"/>
    <s v="Fechado"/>
    <x v="1"/>
    <m/>
  </r>
  <r>
    <s v="FB0121601"/>
    <s v="Alteração no CIL da PKD (ideia já executada)"/>
    <x v="1"/>
    <s v="Adicionar o ponto &quot;Chão no fim dos receptáculos&quot; no CIL "/>
    <s v="Bianca Silva"/>
    <s v="Pequena mudança local"/>
    <x v="3"/>
    <x v="308"/>
    <x v="1"/>
    <d v="2025-09-22T13:14:27"/>
    <m/>
    <s v="IDEIAS-VACUO"/>
    <d v="2025-09-22T13:14:27"/>
    <s v="Fechado"/>
    <x v="1"/>
    <m/>
  </r>
  <r>
    <s v="FB0121602"/>
    <s v="Alteração no CIL da PKD (ideia já executada)"/>
    <x v="1"/>
    <s v="Adicionar o ponto &quot;Caixa coletora de café 1,2,3 e 4&quot; no CIL "/>
    <s v="Bianca Silva"/>
    <s v="Pequena mudança local"/>
    <x v="3"/>
    <x v="309"/>
    <x v="1"/>
    <d v="2025-09-22T13:13:31"/>
    <m/>
    <s v="IDEIAS-VACUO"/>
    <d v="2025-09-22T13:13:31"/>
    <s v="Fechado"/>
    <x v="1"/>
    <m/>
  </r>
  <r>
    <s v="FB0121603"/>
    <s v="Alteração no CIL da PKD (ideia já executada)"/>
    <x v="1"/>
    <s v="Alterar o nome da atividade de &quot;Sujidade de embalagem&quot; para &quot;Mesa da roda de vácuo&quot; "/>
    <s v="Bianca Silva"/>
    <s v="Pequena mudança local"/>
    <x v="3"/>
    <x v="310"/>
    <x v="1"/>
    <d v="2025-09-22T13:13:15"/>
    <m/>
    <s v="IDEIAS-VACUO"/>
    <d v="2025-09-22T13:13:15"/>
    <s v="Fechado"/>
    <x v="1"/>
    <m/>
  </r>
  <r>
    <s v="FB0121604"/>
    <s v="Alteração no CIL da PKD (ideia já executada)"/>
    <x v="1"/>
    <s v="Alterar a frequencia de limpeza do item &quot;Guia entre mandril e canecas de transferencia&quot; para todo inicio de turno "/>
    <s v="Bianca Silva"/>
    <s v="Pequena mudança local"/>
    <x v="3"/>
    <x v="311"/>
    <x v="1"/>
    <d v="2025-09-22T13:14:42"/>
    <m/>
    <s v="IDEIAS-VACUO"/>
    <d v="2025-09-22T13:14:42"/>
    <s v="Fechado"/>
    <x v="1"/>
    <m/>
  </r>
  <r>
    <s v="FB0121605"/>
    <s v="Alteração no CIL da PKD (ideia já executada)"/>
    <x v="1"/>
    <s v="Alterar a frequencia de &quot;Canecas de transferencia (mandril)&quot; para todo inicio de turno"/>
    <s v="Bianca Silva"/>
    <s v="Pequena mudança local"/>
    <x v="3"/>
    <x v="312"/>
    <x v="1"/>
    <d v="2025-09-22T13:14:56"/>
    <m/>
    <s v="IDEIAS-VACUO"/>
    <d v="2025-09-22T13:14:56"/>
    <s v="Fechado"/>
    <x v="1"/>
    <m/>
  </r>
  <r>
    <s v="FB0121606"/>
    <s v="Alteração no CIL da PKD (ideia já executada)"/>
    <x v="1"/>
    <s v="Alterar a frequencia do item &quot;Guias de recebimento do pacote vindo da caneca para o receptáculo&quot; para todo turno "/>
    <s v="Bianca Silva"/>
    <s v="Pequena mudança local"/>
    <x v="3"/>
    <x v="313"/>
    <x v="1"/>
    <d v="2025-09-22T13:15:15"/>
    <m/>
    <s v="IDEIAS-VACUO"/>
    <d v="2025-09-22T13:15:15"/>
    <s v="Fechado"/>
    <x v="1"/>
    <m/>
  </r>
  <r>
    <s v="FB0121618"/>
    <s v="Alteração no CIL das Fabrimas (ideia já executada)"/>
    <x v="1"/>
    <s v="Alterar a frequencia da limpeza do chão do robo no CIL diário "/>
    <s v="Bianca Silva"/>
    <s v="Pequena mudança local"/>
    <x v="3"/>
    <x v="314"/>
    <x v="1"/>
    <d v="2025-09-22T13:12:58"/>
    <m/>
    <s v="IDEIAS-VACUO"/>
    <d v="2025-09-22T13:12:58"/>
    <s v="Fechado"/>
    <x v="1"/>
    <m/>
  </r>
  <r>
    <s v="FB0122168"/>
    <s v="Replicar melhoria realizada no sensor do torrador 1 no torrador 2. "/>
    <x v="3"/>
    <s v="No torrador 2 ainda estamos com a condição antiga onde o sensor aciona pelo vapor e precisamos removê-lo para conseguir seguir com as torras sem o bloqueio gerado pelo alarme, é um ponto de atenção pois as falhas que podem vir a acontecer por remover o sensor é um entupimento do ciclone caso não trocarmos a caçamba na hora certa, como fazemos esse procedimento de remover o sensor praticamente todos os dias as chances de vir a ocorrer um entupimento é maior. A ideia seria replicar no T2 a melhoria feita no T1 onde instalaram um sensor que não lê o vapor mas consegue ler com precisão a película. "/>
    <s v="Gean Silva"/>
    <s v="Grande mudança local"/>
    <x v="4"/>
    <x v="315"/>
    <x v="2"/>
    <d v="2025-10-13T13:16:17"/>
    <s v="Ana Martins"/>
    <s v="IDEIAS-PROCESSOS"/>
    <m/>
    <s v="Aguardando material "/>
    <x v="0"/>
    <m/>
  </r>
  <r>
    <s v="FB0122221"/>
    <s v="Suporte "/>
    <x v="1"/>
    <s v="Suporte para colocar eixos da PKD_x000a__x000a_-----------------------------------_x000a_Pedro Ferreira: Ideia conversada entre eu e o Vitor, além disso, foi aberto uma etiqueta de 5S, e essa questão será discutida o melhor local para a acomodação do eixo. "/>
    <s v="Vitor Xavier"/>
    <s v="Pequena mudança local"/>
    <x v="0"/>
    <x v="316"/>
    <x v="1"/>
    <d v="2025-10-22T10:57:29"/>
    <s v="Leandro Freire"/>
    <s v="IDEIAS-VACUO"/>
    <d v="2025-10-22T10:57:29"/>
    <s v="Fechado"/>
    <x v="0"/>
    <s v="Cancelada"/>
  </r>
  <r>
    <s v="FB0122224"/>
    <s v="faixa de pedestre "/>
    <x v="3"/>
    <s v="Faixa de pedestre para sinalizar a entrada e saída das pessoas que saem do contêiner da moagem_x000a__x000a_Manufatura: Aprovado e aguardando SHE"/>
    <s v="Luiz H Silva"/>
    <s v="Pequena mudança local"/>
    <x v="1"/>
    <x v="317"/>
    <x v="3"/>
    <d v="2025-10-25T10:26:24"/>
    <s v="Tiago Carvalho"/>
    <s v="IDEIAS-PROCESSOS"/>
    <m/>
    <s v="Aguardando Execução "/>
    <x v="0"/>
    <m/>
  </r>
  <r>
    <s v="FB0122228"/>
    <s v="melhoria na troca de bobina "/>
    <x v="3"/>
    <s v="Fixa um suporte no chão para prender o aplicador de fita de referência fazer igual o da PKD_x000a_Pode colocar nas fabrimas e Raumak "/>
    <s v="Iranildo Costa"/>
    <s v="Pequena mudança local"/>
    <x v="4"/>
    <x v="318"/>
    <x v="5"/>
    <d v="2026-04-23T08:41:23"/>
    <s v="Guilherme Oliveira"/>
    <s v="APROVADORES DE IDEIAS"/>
    <m/>
    <s v="Aguardando Orçamento"/>
    <x v="0"/>
    <m/>
  </r>
  <r>
    <s v="FB0122351"/>
    <s v="cabo de energia solto no chão na seladora de fazer revisão "/>
    <x v="0"/>
    <s v="Fazer um suporte aéreo para passagem do cabo de energia"/>
    <s v="Fabricio Brant"/>
    <s v="Pequena mudança local"/>
    <x v="1"/>
    <x v="319"/>
    <x v="1"/>
    <d v="2025-09-29T09:11:17"/>
    <m/>
    <s v="IDEIAS-VACUO"/>
    <d v="2025-09-29T09:11:17"/>
    <s v="Cancelado"/>
    <x v="0"/>
    <m/>
  </r>
  <r>
    <s v="FB0122411"/>
    <s v="inspecionar guias da esteira de entrada do robô "/>
    <x v="1"/>
    <s v="Inspecionar guias da esteira de entrada do robô se necessário fazer ajuste na posição da guia"/>
    <s v="Fabricio Brant"/>
    <s v="Pequena mudança local"/>
    <x v="4"/>
    <x v="320"/>
    <x v="1"/>
    <d v="2025-09-29T09:06:52"/>
    <s v="Bianca Silva"/>
    <s v="IDEIAS-VACUO"/>
    <d v="2025-09-29T09:06:52"/>
    <s v="Fechado"/>
    <x v="0"/>
    <m/>
  </r>
  <r>
    <s v="FB0122564"/>
    <s v="Substituição de quadros de PT com acrílico fixo por quadros magnéticos"/>
    <x v="3"/>
    <s v="Atualmente, os quadros de PT de SHE possuem acrílicos fixos que dificultam a limpeza, acumulando poeira e sujidade. A proposta é substituir esses quadros por modelos magnéticos, que permitem a remoção simples das proteções pelo time de limpeza, garantindo maior higiene, praticidade e melhor conservação da informação exposta. Além disso, a mudança reduzirá o esforço manual, o tempo de limpeza e contribuirá para um ambiente mais organizado._x000a__x000a_Aprovado."/>
    <s v="Ana Pereira"/>
    <s v="Pequena mudança local"/>
    <x v="1"/>
    <x v="321"/>
    <x v="22"/>
    <d v="2026-09-11T14:16:30"/>
    <s v="Guilherme Oliveira"/>
    <s v="APROVADORES DE IDEIAS"/>
    <m/>
    <s v="Aguardando Execução "/>
    <x v="1"/>
    <m/>
  </r>
  <r>
    <s v="FB0122568"/>
    <s v="Fechadura com acesso por biometria na sala de armazenamento de químicos"/>
    <x v="2"/>
    <s v="Instalação de fechadura eletrônica de acesso por biometria na sala de produtos químicos, com possibilidade de registro de acessos por pessoa_x000a__x000a_Foto em anexo de modelo de exemplo para implementação."/>
    <s v="Samuel Camargos"/>
    <s v="Pequena mudança local"/>
    <x v="1"/>
    <x v="322"/>
    <x v="22"/>
    <d v="2026-07-07T14:05:19"/>
    <s v="Jhonnathan Pereira"/>
    <s v="APROVADORES DE IDEIAS"/>
    <m/>
    <s v="Resolvido"/>
    <x v="1"/>
    <m/>
  </r>
  <r>
    <s v="FB0122583"/>
    <s v="falta de chave "/>
    <x v="1"/>
    <s v="Na atividade de troca de teflon da Raumak é necessário de uma chave 17  não veio no quite de ferramentas._x000a_É necessário conversar co a operação para ver quais chaves são necessárias se tivéssemos todas as chaves ajudaria até mesmo na inspeção das peneiras não sendo necessário pegar a chave do armário perdendo assim um tempo _x000a_Outra alternativa seria a padronização dos parafusos nos moinhos, para que fosse utilizados menos chaves, reduzindo a alta demanda por diferentes chaves._x000a_-------------------------------_x000a_Pedro Ferreira: Segundo os operadores precisam de Chave combinada 17 e 19, assim, a aquisição será de 12 de cada uma. _x000a_"/>
    <s v="Thais Souza"/>
    <s v="Pequena mudança local"/>
    <x v="2"/>
    <x v="323"/>
    <x v="5"/>
    <d v="2025-12-10T10:49:53"/>
    <s v="Valeria Yanez"/>
    <s v="APROVADORES DE IDEIAS"/>
    <d v="2025-12-10T10:49:53"/>
    <s v="Fechado"/>
    <x v="0"/>
    <m/>
  </r>
  <r>
    <s v="FB0122630"/>
    <s v="suporte de utensílio "/>
    <x v="3"/>
    <s v="Colocar suporte para utensílios na plataforma da PKD "/>
    <s v="Fabricio Brant"/>
    <s v="Pequena mudança local"/>
    <x v="0"/>
    <x v="324"/>
    <x v="1"/>
    <d v="2026-09-17T14:00:10"/>
    <s v="Jhonnathan Pereira"/>
    <s v="APROVADORES DE IDEIAS"/>
    <m/>
    <s v="Aguardando Execução "/>
    <x v="0"/>
    <m/>
  </r>
  <r>
    <s v="FB0122670"/>
    <s v="Novo local para sacos de lixo"/>
    <x v="3"/>
    <s v="Com a possível alocação do eixo da bobina da PKD no suporte onde fica o saco de lixo, seria possível realocar os sacos de lixo, assim, duas escolhas foram levadas em consideração, a primeira na mesa de teste de furo (melhor logística para os operadores) ou entre as pilastras como mostrado na imagem. Portanto, a intenção seria colocar o suporte igual ou parecido ao próximo os moinhos (semelhante na imagem em anexo)."/>
    <s v="Pedro Ferreira"/>
    <s v="Pequena mudança local"/>
    <x v="0"/>
    <x v="325"/>
    <x v="1"/>
    <d v="2026-09-17T14:19:20"/>
    <s v="Jhonnathan Pereira"/>
    <s v="APROVADORES DE IDEIAS"/>
    <m/>
    <s v="Aguardando Orçamento"/>
    <x v="1"/>
    <m/>
  </r>
  <r>
    <s v="FB0123103"/>
    <s v="óculos de segurança "/>
    <x v="0"/>
    <s v="O meu óculos de segurança a parte que posiciona sobre o nariz está machucando e fica me causando dores de cabeça e eu tenho enxaqueca piora um pouco mais, Sugiro que pudesse encomendar um óculos que possui umas borrachas  no meio"/>
    <s v="Emilly Silva"/>
    <s v="Pequena mudança local"/>
    <x v="1"/>
    <x v="326"/>
    <x v="22"/>
    <d v="2025-10-17T08:43:54"/>
    <m/>
    <s v="IDEIAS-SHE"/>
    <d v="2025-10-17T08:43:54"/>
    <s v="Cancelado"/>
    <x v="0"/>
    <m/>
  </r>
  <r>
    <s v="FB0123102"/>
    <s v="Televisão no Container"/>
    <x v="2"/>
    <s v="Instalar uma televisão e/ou monitor um pouco maior para deixar no container e ver a produção das máquinas. "/>
    <s v="Bianca Silva"/>
    <s v="Pequena mudança local"/>
    <x v="0"/>
    <x v="327"/>
    <x v="7"/>
    <d v="2026-07-07T14:19:20"/>
    <s v="Pedro Ferreira"/>
    <s v="APROVADORES DE IDEIAS"/>
    <m/>
    <s v="Resolvido"/>
    <x v="1"/>
    <m/>
  </r>
  <r>
    <s v="FB0123104"/>
    <s v="Caderninho de Tempo de Descanso"/>
    <x v="1"/>
    <s v="Todo início de mês, disponibilizar um caderninho com as folhas para Tempo de descanso, que fica no pedestal na frente do torrador. Sendo assim, as folhas evitariam ficar &quot;jogadas&quot; ou &quot;esquecidas&quot; em outros lugares, além de trazer ordem de produção e organização no serviço. "/>
    <s v="Bianca Silva"/>
    <s v="Pequena mudança local"/>
    <x v="0"/>
    <x v="328"/>
    <x v="7"/>
    <d v="2025-10-30T14:53:46"/>
    <m/>
    <s v="APROVADORES DE IDEIAS"/>
    <d v="2025-10-30T14:53:46"/>
    <s v="Fechado"/>
    <x v="1"/>
    <m/>
  </r>
  <r>
    <s v="FB0123275"/>
    <s v="melhorias nos apalpadores "/>
    <x v="1"/>
    <s v="Apalpadores mais largos e gordinho . E igualar tanto o da frente quanto o de trás para evitar a ficar gastando tempo em ajustes _x000a__x000a_MANUTENÇÃO: MANUFATURA ORÇAR COM TERCEIRO"/>
    <s v="Thais Souza"/>
    <s v="Pequena mudança local"/>
    <x v="4"/>
    <x v="329"/>
    <x v="5"/>
    <d v="2025-12-02T08:54:43"/>
    <s v="Moises Costa"/>
    <s v="APROVADORES DE IDEIAS"/>
    <d v="2025-12-02T08:54:43"/>
    <s v="Fechado"/>
    <x v="0"/>
    <m/>
  </r>
  <r>
    <s v="FB0123284"/>
    <s v="Caçamba de Descarte de resíduos "/>
    <x v="0"/>
    <s v="As fabrimas possui o descarte do detector de metal e as peneiras cada uma possui o descarte das peneiras._x000a_E tem que levar os descartes para a caçamba próximo a PKD._x000a_Sugiro que pudesse colocar uma caçamba próximo as fabrimas para descarte pois é muito ruim levar os baldes de inox tem que esforçar muito a coluna e da má ergonomia."/>
    <s v="Emilly Silva"/>
    <s v="Pequena mudança local"/>
    <x v="1"/>
    <x v="330"/>
    <x v="19"/>
    <d v="2025-10-17T08:46:54"/>
    <m/>
    <s v="APROVADORES DE IDEIAS"/>
    <d v="2025-10-17T08:46:54"/>
    <s v="Cancelado"/>
    <x v="0"/>
    <m/>
  </r>
  <r>
    <s v="FB0123285"/>
    <s v="Descarte de resíduos das peneiras"/>
    <x v="2"/>
    <s v="As peneiras ao limpar, tem que varrer para tirar o café no chão e colocar no saco lixo e tem que desce-los passando pela escada, oque é um perigo pois pode escorregar e pode furar mesmo segurando no corrimão._x000a_Sugiro que pudesse fazer um buraco na plataformas das peneiras onde que pudesse ter uma mangueira e pudesse varrer o café para este local e descartar o café mais fácil, e embaixo ter uma caçamba para colocar os resíduos tanto da peneira como dos descarte das fabrimas _x000a__x000a_SHE: Devemos abrir um MOC para analisar os impactos da ideia. Necessitamos de um esboço de como ficará esta solução. A partir dessas informações poderemos aprovar ou recusar a ideia._x000a_"/>
    <s v="Emilly Silva"/>
    <s v="Pequena mudança local"/>
    <x v="1"/>
    <x v="331"/>
    <x v="22"/>
    <d v="2026-05-28T15:14:28"/>
    <m/>
    <s v="IDEIAS-SHE"/>
    <m/>
    <s v="Resolvido"/>
    <x v="0"/>
    <m/>
  </r>
  <r>
    <s v="FB0124313"/>
    <s v="Inclusão de parada no MOP"/>
    <x v="1"/>
    <s v="Adicionar uma parada na PKD, Robô e código da subperda como Sensor do Robô, pois ao embalar café extra forte, as vezes o sensor não lê a fita preta, fazendo com que as caixas encavalem na esteira do robô. Sendo assim, temos que apontar a parada no MOP como Robô não pega caixa ou zona ZNL01 (o que não seria o ideal) "/>
    <s v="Bianca Silva"/>
    <s v="Pequena mudança local"/>
    <x v="2"/>
    <x v="332"/>
    <x v="20"/>
    <d v="2026-01-05T08:50:06"/>
    <s v="Relton Moraes"/>
    <s v="IDEIAS-MELHORIA CONTÍNUA"/>
    <d v="2026-01-05T08:50:06"/>
    <s v="Fechado"/>
    <x v="1"/>
    <m/>
  </r>
  <r>
    <s v="FB0124354"/>
    <s v="Manual com imagens e passos para a inserção da bobina na fabrima "/>
    <x v="2"/>
    <s v="Um manual com imagens e o passo a passo para que os operadores das fabrimas consigam inserir a bobina na sequencias certa através dos roletes "/>
    <s v="Valeria Yanez"/>
    <s v="Pequena mudança local"/>
    <x v="0"/>
    <x v="333"/>
    <x v="0"/>
    <d v="2026-05-14T15:10:50"/>
    <s v="Tais Costa"/>
    <s v="APROVADORES DE IDEIAS"/>
    <m/>
    <s v="Resolvido"/>
    <x v="1"/>
    <m/>
  </r>
  <r>
    <s v="FB0124363"/>
    <s v="Aquisição de vinagre de maça  "/>
    <x v="1"/>
    <s v="A opção de vinagre de maça nas refeições "/>
    <s v="Valeria Yanez"/>
    <s v="Pequena mudança local"/>
    <x v="3"/>
    <x v="334"/>
    <x v="29"/>
    <d v="2025-10-15T13:13:27"/>
    <s v="Ana Pereira"/>
    <s v="IDEIAS-ADMINISTRATIVO"/>
    <d v="2025-10-15T13:13:27"/>
    <s v="Fechado"/>
    <x v="1"/>
    <m/>
  </r>
  <r>
    <s v="FB0124404"/>
    <s v="retirar a caixa de coleiro reserva e passa a etiquetadora no lugar "/>
    <x v="3"/>
    <s v="Melhor a passagem correta do fradinho ao sair da Raumak  _x000a_Pois os fardos n se alinha correto na passagem da etiqueta _x000a__x000a_SHE: aprovado. Seguir com a MOC"/>
    <s v="Thais Souza"/>
    <s v="Grande mudança local"/>
    <x v="0"/>
    <x v="335"/>
    <x v="5"/>
    <d v="2025-10-24T11:54:38"/>
    <m/>
    <s v="APROVADORES DE IDEIAS"/>
    <m/>
    <s v="Aguardando MOC"/>
    <x v="0"/>
    <m/>
  </r>
  <r>
    <s v="FB0124563"/>
    <s v="teste centerlining "/>
    <x v="3"/>
    <s v="Colocar centerlining mas com ranges de ajuste "/>
    <s v="Ivomar Costa"/>
    <s v="Pequena mudança local"/>
    <x v="3"/>
    <x v="336"/>
    <x v="1"/>
    <d v="2025-10-16T15:40:30"/>
    <m/>
    <s v="IDEIAS-VACUO"/>
    <m/>
    <s v="Aguardando Execução "/>
    <x v="0"/>
    <m/>
  </r>
  <r>
    <s v="FB0124966"/>
    <s v="Instalação de tomadas especiais para ventiladores no MOS Academy"/>
    <x v="3"/>
    <s v="Durante o evento Piumhi Awards, realizado no espaço MOS Academy, foi identificado que o ambiente fica bastante quente._x000a_Para melhorar o conforto térmico dos participantes, sugiro a instalação de duas tomadas especiais (do mesmo tipo utilizado para os ventiladores da produção) nas grades do MOS Academy, sendo uma em cada canto da grade._x000a__x000a_Essas tomadas permitirão ligar ventiladores durante os eventos, melhorando a circulação de ar e o bem-estar dos associados._x000a_"/>
    <s v="Ana Pereira"/>
    <s v="Pequena mudança local"/>
    <x v="0"/>
    <x v="337"/>
    <x v="16"/>
    <d v="2026-07-22T00:42:11"/>
    <s v="Anderson Santana"/>
    <s v="APROVADORES DE IDEIAS"/>
    <m/>
    <s v="Aguardando material "/>
    <x v="1"/>
    <m/>
  </r>
  <r>
    <s v="FB0125022"/>
    <s v="Balde furado para quedas de energia"/>
    <x v="1"/>
    <s v="Baldes com o fundo furado exclusivos para atuação em quedas de energia, para facilitar o descarte de café e ganharmos tempo de retirada do café encharcado.. reduzindo a sujeira na área, diminuir os riscos de escorregão e acidentes com excesso de água no chão e melhoria na ergonomia.. pois o café cru principalmente + a água fica muito pesado._x000a__x000a_Pelo menos 2 baldes."/>
    <s v="Vinicius De Oliveira"/>
    <s v="Pequena mudança local"/>
    <x v="0"/>
    <x v="338"/>
    <x v="2"/>
    <d v="2026-02-03T14:42:16"/>
    <s v="Pedro Ferreira"/>
    <s v="IDEIAS-PROCESSOS"/>
    <d v="2026-02-03T14:42:16"/>
    <s v="Fechado"/>
    <x v="0"/>
    <m/>
  </r>
  <r>
    <s v="FB0125147"/>
    <s v="caixinha para guardar as bolinhas do detector de metal "/>
    <x v="3"/>
    <s v="caixinha para guardar as bolinhas do detector de metal , está sendo guardado em um saquinho , corre o risco de rasgar pois é armazenado junto com as maletas "/>
    <s v="Angela Santos"/>
    <s v="Pequena mudança local"/>
    <x v="0"/>
    <x v="339"/>
    <x v="7"/>
    <d v="2026-09-17T14:17:32"/>
    <s v="Ana Martins"/>
    <s v="APROVADORES DE IDEIAS"/>
    <m/>
    <s v="Aguardando Orçamento"/>
    <x v="0"/>
    <m/>
  </r>
  <r>
    <s v="FB0125445"/>
    <s v="Prateleiras na sala de químicos"/>
    <x v="2"/>
    <s v="Instalação de prateleiras na sala de armazenamento de produtos químicos, com o objetivo de melhorar a organização dos produtos químicos armazenados._x000a_A estrutura pode ser composta por prateleiras fixadas na parede com parafusos, conforme exemplo em foto, ou por prateleiras com suporte tipo mão francesa._x000a_Além disso, realizar a remoção do armário antigo atualmente utilizado para armazenar documentos. Para substituí-lo, realizar a instalação de um organizador de documentos de parede, conforme modelo apresentado na imagem anexada."/>
    <s v="Samuel Camargos"/>
    <s v="Pequena mudança local"/>
    <x v="0"/>
    <x v="340"/>
    <x v="22"/>
    <d v="2026-07-07T14:27:44"/>
    <s v="Jhonnathan Pereira"/>
    <s v="APROVADORES DE IDEIAS"/>
    <m/>
    <s v="Resolvido"/>
    <x v="1"/>
    <m/>
  </r>
  <r>
    <s v="FB0125464"/>
    <s v="Atualizar ponto de CIL nos Torradores "/>
    <x v="3"/>
    <s v="XXXXXXXXXXXXXX"/>
    <s v="Giovanna Biffaratte"/>
    <s v="Grande mudança local"/>
    <x v="2"/>
    <x v="341"/>
    <x v="20"/>
    <d v="2026-09-11T15:29:26"/>
    <s v="Luzia Rodrigues"/>
    <s v="APROVADORES DE IDEIAS"/>
    <m/>
    <s v="Aguardando Execução "/>
    <x v="1"/>
    <m/>
  </r>
  <r>
    <s v="FB0125639"/>
    <s v="Cadeado na caixa de contenção da logística"/>
    <x v="1"/>
    <s v="Instalação de cantoneiras para cadeado na caixa de contenção da logística."/>
    <s v="Samuel Camargos"/>
    <s v="Pequena mudança local"/>
    <x v="1"/>
    <x v="342"/>
    <x v="22"/>
    <d v="2026-01-19T09:11:54"/>
    <s v="Jhonnathan Pereira"/>
    <s v="IDEIAS-SHE"/>
    <d v="2026-01-19T09:11:54"/>
    <s v="Fechado"/>
    <x v="1"/>
    <m/>
  </r>
  <r>
    <s v="FB0125662"/>
    <s v="Criar instruções para as sirenes das Fabrimas (troca de Silo)"/>
    <x v="2"/>
    <s v="Com a incorporação da ideia das sirenes na troca de silo das fabrimas, é importante destacar os pontos onde estaria identificado quando a sirene vai acionar e o que o operador deve fazer, ou seja, definir um passo a passo, com tempo de resposta dos sensores dos silos, até o acionamento das sirenes, além de estabelecer que a sirene toca quando o sensor apaga e quando não há troca de rota dos silos. "/>
    <s v="Pedro Ferreira"/>
    <s v="Pequena mudança local"/>
    <x v="4"/>
    <x v="343"/>
    <x v="0"/>
    <d v="2026-05-14T15:58:47"/>
    <m/>
    <s v="APROVADORES DE IDEIAS"/>
    <m/>
    <s v="Resolvido"/>
    <x v="1"/>
    <m/>
  </r>
  <r>
    <s v="FB0125746"/>
    <s v="colocar etiqueta "/>
    <x v="3"/>
    <s v="Umas válvulas de registro dos torradores está sem entiques precisa fabricar as e tíquetes MF e MÁ para colocar no registro ( foi feito pedido Moisés realizar compra do material e fabricação das etiquetas."/>
    <s v="Edvan Santos"/>
    <s v="Pequena mudança local"/>
    <x v="2"/>
    <x v="344"/>
    <x v="2"/>
    <d v="2026-05-14T15:59:37"/>
    <s v="Moises Costa"/>
    <s v="IDEIAS-PROCESSOS"/>
    <m/>
    <s v="Aguardando Execução "/>
    <x v="0"/>
    <m/>
  </r>
  <r>
    <s v="FB0125785"/>
    <s v="ideia de melhoria teste"/>
    <x v="0"/>
    <s v="Descrever informações completas"/>
    <s v="Luzia Rodrigues"/>
    <s v="Pequena mudança local"/>
    <x v="4"/>
    <x v="345"/>
    <x v="1"/>
    <d v="2025-10-28T10:56:15"/>
    <m/>
    <s v="IDEIAS-VACUO"/>
    <d v="2025-10-28T10:56:16"/>
    <s v="Cancelado"/>
    <x v="1"/>
    <m/>
  </r>
  <r>
    <s v="FB0125969"/>
    <s v="copo do dosador da fabrima 2"/>
    <x v="1"/>
    <s v="Porta de inspeção do copo do dosador com dificuldade ao acesso na parte interna do copo"/>
    <s v="Thais Souza"/>
    <s v="Pequena mudança local"/>
    <x v="0"/>
    <x v="346"/>
    <x v="5"/>
    <d v="2025-10-30T11:20:45"/>
    <s v="Moises Costa"/>
    <s v="APROVADORES DE IDEIAS"/>
    <d v="2025-10-30T11:20:45"/>
    <s v="Fechado"/>
    <x v="0"/>
    <m/>
  </r>
  <r>
    <s v="FB0125980"/>
    <s v="copo do dosador da fabrima 4"/>
    <x v="1"/>
    <s v="Porta de inspeção do copo do dosador com dificuldade ao acesso na parte interna do copo"/>
    <s v="Thais Souza"/>
    <s v="Pequena mudança local"/>
    <x v="0"/>
    <x v="347"/>
    <x v="5"/>
    <d v="2025-10-30T11:20:35"/>
    <s v="Moises Costa"/>
    <s v="APROVADORES DE IDEIAS"/>
    <d v="2025-10-30T11:20:35"/>
    <s v="Fechado"/>
    <x v="0"/>
    <m/>
  </r>
  <r>
    <s v="FB0125981"/>
    <s v="copo do dosador da fabrima 5"/>
    <x v="1"/>
    <s v="Porta de inspeção do copo do dosador com dificuldade ao acesso na parte interna do copo"/>
    <s v="Thais Souza"/>
    <s v="Pequena mudança local"/>
    <x v="0"/>
    <x v="348"/>
    <x v="5"/>
    <d v="2025-10-30T14:56:37"/>
    <s v="Moises Costa"/>
    <s v="APROVADORES DE IDEIAS"/>
    <d v="2025-10-30T14:56:37"/>
    <s v="Fechado"/>
    <x v="0"/>
    <m/>
  </r>
  <r>
    <s v="FB0126026"/>
    <s v="Troca dos parafusos"/>
    <x v="2"/>
    <s v="Eu gostaria que trocasse os parafusos laterais onde fixa o mordente vertical da fabrima 4 e 2._x000a_Para ficar que nem a da 5, Onde a 5 Possui na lateral dele Um Parafuso de cabeça de plástico._x000a_Usei a da Foto do parafuso como referência para que possam entender._x000a_E também marquei com o vermelho os parafuso da 5 o qual que eu gostaria que ficasse que pudesse trocar a da 4 e 2 para ficar que nem a 5._x000a_Pois facilita muito ao trocar o teflon do mordente vertical._x000a_Pois durante o turno tem vezes que o teflon não está bom e ter que trocar durante o turno pois suja de café e tira a cola do teflon , E fazendo a Troca dos parafusos laterais onde fixa o mordente vertical e ficasse que nem a 5 Facilitaria muito para nós operadores ao trocar o teflon,Pois aí não precisaria procurar qual chave que é, pois seria só desenroscar o parafuso com a cabeça de plástico. "/>
    <s v="Emilly Silva"/>
    <s v="Pequena mudança local"/>
    <x v="4"/>
    <x v="349"/>
    <x v="0"/>
    <d v="2026-08-31T10:43:14"/>
    <m/>
    <s v="APROVADORES DE IDEIAS"/>
    <m/>
    <s v="Resolvido"/>
    <x v="0"/>
    <m/>
  </r>
  <r>
    <s v="FB0126250"/>
    <s v="SUPORTE PARA TAMPAS DOS MOINHOS"/>
    <x v="1"/>
    <s v="Produzir um suporte para as tampas dos moinhos, para ser utilizado nas preventivas. Assim evitando que elas amassem ou sejam contaminadas._x000a__x000a_Precisamos apenas comprar o material, será produzido por um mecânico da JDE."/>
    <s v="Aline Fernandes"/>
    <s v="Pequena mudança local"/>
    <x v="0"/>
    <x v="350"/>
    <x v="20"/>
    <d v="2025-12-11T09:37:43"/>
    <s v="Aline Fernandes"/>
    <s v="IDEIAS-MELHORIA CONTÍNUA"/>
    <d v="2025-12-11T09:37:43"/>
    <s v="Fechado"/>
    <x v="1"/>
    <m/>
  </r>
  <r>
    <s v="FB0126261"/>
    <s v="pintura de amarelo de toda cerca cinza e pilares"/>
    <x v="0"/>
    <s v="Efetuando o treinamento de empilhadeira notei que toda estrutura de cercado da fábrica é em amarelo exceto algumas partes que suspeito ter sido colocada mais recente._x000a_Para uma melhor visualização , evitar acidentes e padronização escrevo essa ideia de pintar todas as grades de amarelo na parada de fim de ano._x000a_Junto dessa ideia complemento com outra que seria pintar os pilares em amarelo, todos que estejam tenha trânsito da empilhadeira ou carro de limpeza na sua área. (Caso essa seja vista como outra ideia entre em contato para eu realizar o cadastro)."/>
    <s v="BRUNO BARCELOS RESENDE"/>
    <s v="Pequena mudança local"/>
    <x v="1"/>
    <x v="351"/>
    <x v="10"/>
    <d v="2026-01-26T10:41:54"/>
    <m/>
    <s v="IDEIAS-LOGÍSTICA"/>
    <d v="2026-01-26T10:41:54"/>
    <s v="Cancelado"/>
    <x v="0"/>
    <m/>
  </r>
  <r>
    <s v="FB0126285"/>
    <s v="Alteração CIL Mensal dos Moinhos"/>
    <x v="1"/>
    <s v="Alterar o CIL estrutural para os 6 moinhos pois na nova versão, estrutural, não é possível os tres operadores assinarem que realizaram a atividade, mas os tres realizam porém em moinhos diferentes. "/>
    <s v="Bianca Silva"/>
    <s v="Pequena mudança local"/>
    <x v="0"/>
    <x v="352"/>
    <x v="20"/>
    <d v="2025-11-05T14:29:41"/>
    <m/>
    <s v="IDEIAS-MELHORIA CONTÍNUA"/>
    <d v="2025-11-05T14:29:41"/>
    <s v="Fechado"/>
    <x v="1"/>
    <m/>
  </r>
  <r>
    <s v="FB0126286"/>
    <s v="Trocar o quadro de OPS1 do torrador"/>
    <x v="3"/>
    <s v="Trocar o quadro, colocar um acrilico na frente do quadro de OPS1 dos torradores, visto que o que tem lá não dá mais para escrever de tão gasto. _x000a__x000a_-------------------------------_x000a_Pedro Ferreira (05/11): Orçamento já realizado, falta apenas a execução. "/>
    <s v="Bianca Silva"/>
    <s v="Pequena mudança local"/>
    <x v="0"/>
    <x v="353"/>
    <x v="11"/>
    <d v="2026-07-03T11:02:46"/>
    <s v="Pedro Ferreira"/>
    <s v="APROVADORES DE IDEIAS"/>
    <m/>
    <s v="Aguardando material "/>
    <x v="1"/>
    <m/>
  </r>
  <r>
    <s v="FB0126312"/>
    <s v="perder "/>
    <x v="2"/>
    <s v="Prender o estilete na mesa para que não suma novamente. Fica no mino 4 metros para que possam ser usados para abrir o paletes de caixas _x000a__x000a_Manutenção: Mecanico foi para realizar o furo e a instalação e foi dito que não poderia pois só tinham um estilete!"/>
    <s v="Ivomar Costa"/>
    <s v="Pequena mudança local"/>
    <x v="0"/>
    <x v="354"/>
    <x v="1"/>
    <d v="2026-05-06T14:41:55"/>
    <m/>
    <s v="IDEIAS-VACUO"/>
    <m/>
    <s v="Resolvido"/>
    <x v="0"/>
    <m/>
  </r>
  <r>
    <s v="FB0126514"/>
    <s v="Conectar o detector de Metais nas maquinas"/>
    <x v="0"/>
    <s v="A ideia é conectar o detector de metais nas maquinas para impedir o ligamento da máquina sem ligar o detector de metais. _x000a__x000a_Manutenção: Foi aliando no projeto inicial de não interligar pois caso detector de metais, não ligue a maquina não vai ligar! necessario aprovação de outras areas_x000a__x000a_Manufatura: é complicado essa interligação pois na PKD por exemplo o detector ainda está sem funcionar, outro ponto é que o operador precisa fazer a verificação do PPRO com as bolinhas no início e meio do turno, então ele veria neste momento que o detector estaria ligado ou não"/>
    <s v="Ruth Ribeiro"/>
    <s v="Pequena mudança local"/>
    <x v="3"/>
    <x v="355"/>
    <x v="20"/>
    <d v="2025-12-15T15:32:01"/>
    <m/>
    <s v="IDEIAS-MELHORIA CONTÍNUA"/>
    <d v="2025-12-15T15:32:01"/>
    <s v="Cancelado"/>
    <x v="1"/>
    <m/>
  </r>
  <r>
    <s v="FB0127122"/>
    <s v="suporte para utensílios "/>
    <x v="0"/>
    <s v="Suporte para utensílios de limpeza na área de descarte "/>
    <s v="Fabricio Brant"/>
    <s v="Pequena mudança local"/>
    <x v="0"/>
    <x v="356"/>
    <x v="1"/>
    <d v="2025-11-25T13:19:48"/>
    <m/>
    <s v="IDEIAS-VACUO"/>
    <d v="2025-11-25T13:19:48"/>
    <s v="Cancelado"/>
    <x v="0"/>
    <m/>
  </r>
  <r>
    <s v="FB0127239"/>
    <s v="tambor reserva captação de pó PKD "/>
    <x v="0"/>
    <s v="Tambor reserva captação de pó da PKD "/>
    <s v="Fabricio Brant"/>
    <s v="Pequena mudança local"/>
    <x v="0"/>
    <x v="357"/>
    <x v="0"/>
    <d v="2026-01-08T09:48:38"/>
    <m/>
    <s v="APROVADORES DE IDEIAS"/>
    <d v="2026-01-08T09:48:38"/>
    <s v="Cancelado"/>
    <x v="0"/>
    <m/>
  </r>
  <r>
    <s v="FB0127277"/>
    <s v="lixeira individual para copos"/>
    <x v="0"/>
    <s v="Lixeira para copos descartáveis _x000a__x000a_SHE: Não viável pois nossos copos plásticos descartáveis não são destinados para a reciclagem devido ao tipo de plásticos que ele é feito (PS), sendo assim, como alternativa eles são destinados a blendagem para coprocessamento, mesma tecnologia utilizada para o lixo comum e alternativas para resíduos onde não possam ser reciclados. Na pratica o copo plástico descartável é um lixo comum"/>
    <s v="Fabricio Brant"/>
    <s v="Pequena mudança local"/>
    <x v="8"/>
    <x v="358"/>
    <x v="22"/>
    <d v="2025-12-04T10:39:30"/>
    <m/>
    <s v="IDEIAS-SHE"/>
    <d v="2025-12-04T10:39:30"/>
    <s v="Cancelado"/>
    <x v="0"/>
    <m/>
  </r>
  <r>
    <s v="FB0127350"/>
    <s v="Reformulação dos painéis de Alarmes"/>
    <x v="1"/>
    <s v="As folhas nos painéis de alarmes estão desatualizadas, precisa-se atualizar para que os brigadistas tenham mais assertividade na hora de uma emergência."/>
    <s v="Jhonnathan Pereira"/>
    <s v="Pequena mudança local"/>
    <x v="1"/>
    <x v="359"/>
    <x v="22"/>
    <d v="2026-01-19T09:15:15"/>
    <s v="Jhonnathan Pereira"/>
    <s v="IDEIAS-SHE"/>
    <d v="2026-01-19T09:15:15"/>
    <s v="Fechado"/>
    <x v="1"/>
    <m/>
  </r>
  <r>
    <s v="FB0127390"/>
    <s v="Colocar um suporte na área de descarte "/>
    <x v="0"/>
    <s v="Colocar suporte da vassoura, pazinha e do varre mesa na área descarte das caçambas pra facilitar pra fazer a limpeza do local. "/>
    <s v="Karina Silva"/>
    <s v="Pequena mudança local"/>
    <x v="0"/>
    <x v="360"/>
    <x v="1"/>
    <d v="2025-11-12T15:24:03"/>
    <m/>
    <s v="IDEIAS-VACUO"/>
    <d v="2025-11-12T15:24:03"/>
    <s v="Cancelado"/>
    <x v="0"/>
    <m/>
  </r>
  <r>
    <s v="FB0127477"/>
    <s v="ontem de parada faltando na árvore de perda da PKD "/>
    <x v="2"/>
    <s v="Magazine de pacotes"/>
    <s v="Fabricio Brant"/>
    <s v="Pequena mudança local"/>
    <x v="4"/>
    <x v="361"/>
    <x v="1"/>
    <d v="2026-04-29T13:06:29"/>
    <s v="Relton Moraes"/>
    <s v="IDEIAS-VACUO"/>
    <m/>
    <s v="Resolvido"/>
    <x v="0"/>
    <m/>
  </r>
  <r>
    <s v="FB0127482"/>
    <s v="Colocar um &quot;copinho&quot; na mesa do borracheiro da PKD "/>
    <x v="2"/>
    <s v="Colocar algum suporte na mesa do borracheiro para poder colocar as borrachinhas que são necessárias para realizar o borracheiro, visto que hoje fica dentro do rolinho de uma fita azul. "/>
    <s v="Bianca Silva"/>
    <s v="Pequena mudança local"/>
    <x v="0"/>
    <x v="362"/>
    <x v="0"/>
    <d v="2026-07-03T11:03:14"/>
    <s v="Ana Martins"/>
    <s v="APROVADORES DE IDEIAS"/>
    <m/>
    <s v="Resolvido"/>
    <x v="1"/>
    <m/>
  </r>
  <r>
    <s v="FB0127528"/>
    <s v="realizar a troca de lado da mangueira do ar comprimido Fab 4"/>
    <x v="1"/>
    <s v="troca da mangueira do ar comprimido que é usada para encher o eixo expansivo , a mesma está do lado invertido"/>
    <s v="Angela Santos"/>
    <s v="Pequena mudança local"/>
    <x v="4"/>
    <x v="363"/>
    <x v="7"/>
    <d v="2025-11-12T14:07:04"/>
    <s v="Moises Costa"/>
    <s v="APROVADORES DE IDEIAS"/>
    <d v="2025-11-12T14:07:04"/>
    <s v="Fechado"/>
    <x v="0"/>
    <m/>
  </r>
  <r>
    <s v="FB0127575"/>
    <s v="Mesa para LUP"/>
    <x v="4"/>
    <s v="Mesa para ser disponibilizada na sala piumhi para que os operadores possam elaborar LUPs. Nas gavetas podemos deixar os materiais necessários para desenho e junto já o box de aprovação. A proposta de ser na sala piumhi é para ser próximo à operação mas não ter problemas de qualidade com os materiais de desenho. Ação do Pilar MA."/>
    <s v="Luzia Rodrigues"/>
    <s v="Pequena mudança local"/>
    <x v="0"/>
    <x v="364"/>
    <x v="16"/>
    <d v="2026-07-03T11:05:04"/>
    <m/>
    <s v="APROVADORES DE IDEIAS"/>
    <m/>
    <s v="Rascunho"/>
    <x v="1"/>
    <m/>
  </r>
  <r>
    <s v="FB0127682"/>
    <s v="incluir linha  na categoria de apontamento do robô "/>
    <x v="1"/>
    <s v="incluir linha  na categoria de apontamento do robô , operadores estão tendo dificuldade em lembrar de especificar qual linha teve a parada, tendo uma opção de qual linha fica mais fácil para o apontamento _x000a_Linha 4 _x000a_Linha 5_x000a_Ou  Fabrima 4 e 5_x000a_"/>
    <s v="Angela Santos"/>
    <s v="Pequena mudança local"/>
    <x v="2"/>
    <x v="365"/>
    <x v="7"/>
    <d v="2025-12-01T13:27:19"/>
    <s v="Relton Moraes"/>
    <s v="APROVADORES DE IDEIAS"/>
    <d v="2025-12-01T13:27:19"/>
    <s v="Fechado"/>
    <x v="0"/>
    <m/>
  </r>
  <r>
    <s v="FB0127698"/>
    <s v="Espelho para o Banheiro femenino"/>
    <x v="0"/>
    <s v="A instalação de um espelho corpo completo na area dos banheiros "/>
    <s v="Valeria Yanez"/>
    <s v="Pequena mudança local"/>
    <x v="0"/>
    <x v="366"/>
    <x v="13"/>
    <d v="2025-11-12T13:42:07"/>
    <m/>
    <s v="IDEIAS-ADMINISTRATIVO"/>
    <d v="2025-11-12T13:42:07"/>
    <s v="Cancelado"/>
    <x v="1"/>
    <m/>
  </r>
  <r>
    <s v="FB0127699"/>
    <s v="QR DE RH"/>
    <x v="2"/>
    <s v="Criar um QR Code para sugestões e reclamações de temas voltados para RH. Igual o que temos  para o refeitório"/>
    <s v="Aline Fernandes"/>
    <s v="Pequena mudança local"/>
    <x v="0"/>
    <x v="367"/>
    <x v="16"/>
    <d v="2026-07-03T11:05:20"/>
    <s v="Fabrizia Soares"/>
    <s v="APROVADORES DE IDEIAS"/>
    <m/>
    <s v="Resolvido"/>
    <x v="1"/>
    <m/>
  </r>
  <r>
    <s v="FB0127763"/>
    <s v="Acumulador "/>
    <x v="3"/>
    <s v="Foi aberto uma ideia sobre fazer uma lubrificação do arremessador!_x000a_Sugiro que também possa aproveitar a oportunidade de estar fazendo a lubrificação dos componentes do Acumulador, Arremessador e junto com os outros demais componentes que necessitam de lubrificação!_x000a_Para que possa ter um bom funcionamento, pois evita desgaste nas peças e a máquina perfomance melhor e não ocorra muitas paradas não planejadas, pois estava acontecendo falhas frequentes na Raumak e foi necessário somente lubrificar as peças e além do mais precisou mexer nos parâmetros!_x000a_SE POSSÍVEL APLICAR ESTA IDEIA UMA VEZ POR MÊS!"/>
    <s v="Emilly Silva"/>
    <s v="Pequena mudança local"/>
    <x v="2"/>
    <x v="368"/>
    <x v="0"/>
    <d v="2026-09-11T14:38:21"/>
    <s v="Valeria Yanez"/>
    <s v="APROVADORES DE IDEIAS"/>
    <m/>
    <s v="Aguardando Execução "/>
    <x v="0"/>
    <m/>
  </r>
  <r>
    <s v="FB0127775"/>
    <s v="Inspeção visual dos mordentes horizontal e borracha"/>
    <x v="1"/>
    <s v="Gostaria que aplicasse no CIL, Sobre a inspeção visual dos mordentes horizontal, pois não tem no cil, para uma melhor selagem do fardo e caso esteja ruim ter que trocar o teflon"/>
    <s v="Emilly Silva"/>
    <s v="Pequena mudança local"/>
    <x v="4"/>
    <x v="369"/>
    <x v="5"/>
    <d v="2025-12-18T10:04:39"/>
    <s v="Bianca Silva"/>
    <s v="APROVADORES DE IDEIAS"/>
    <d v="2025-12-18T10:04:39"/>
    <s v="Fechado"/>
    <x v="0"/>
    <m/>
  </r>
  <r>
    <s v="FB0127776"/>
    <s v="Troca do Níquel cromo mensal "/>
    <x v="0"/>
    <s v="Programar para os eletrônicos fazer a troca dos níquel cromo mensal, para uma selagem perfeita, e peço que coloque um papel no contanier para que os eletrônicos assinem mostrando que trocou o níquel cromo_x000a__x000a_MANUTENÇÃO: ESSA TROCA DO NIQUEL CROMO JÁ FOI  DISCUTIDA COM ELETRONICO VISTO NECESSARIO A TROCA A CADA 2 MESES PREVENTIVAMENTE"/>
    <s v="Emilly Silva"/>
    <s v="Pequena mudança local"/>
    <x v="2"/>
    <x v="370"/>
    <x v="5"/>
    <d v="2025-11-24T13:25:34"/>
    <m/>
    <s v="APROVADORES DE IDEIAS"/>
    <d v="2025-11-24T13:25:34"/>
    <s v="Cancelado"/>
    <x v="0"/>
    <m/>
  </r>
  <r>
    <s v="FB0127777"/>
    <s v="troca do teflon dos mordentes horizontal de 15 em 15 dias"/>
    <x v="1"/>
    <s v="Programar para um turno específico para trocar o teflon de 15 em 15 dias do mordente horizontal da Raumak(  Níquel cromo), para uma melhor durabilidade do níquel cromo._x000a__x000a_COMENTÁRIO ADICIONAL EMILLY:_x000a_Programar para o 2T fazer a troca;"/>
    <s v="Emilly Silva"/>
    <s v="Pequena mudança local"/>
    <x v="2"/>
    <x v="371"/>
    <x v="5"/>
    <d v="2025-12-18T10:04:59"/>
    <s v="Bianca Silva"/>
    <s v="APROVADORES DE IDEIAS"/>
    <d v="2025-12-18T10:04:59"/>
    <s v="Fechado"/>
    <x v="0"/>
    <m/>
  </r>
  <r>
    <s v="FB0127861"/>
    <s v="realizar padronização da bailarina da Fabrima 4 e 5  de acordo com a Fabrima 2 e 3"/>
    <x v="3"/>
    <s v="Deve ser realizado a confecção do novo sistema de acordo com a bailarina da Fabrima 2 e 3"/>
    <s v="Arthur Silva"/>
    <s v="Pequena mudança local"/>
    <x v="4"/>
    <x v="372"/>
    <x v="0"/>
    <d v="2026-08-10T14:08:05"/>
    <s v="Anderson Santana"/>
    <s v="APROVADORES DE IDEIAS"/>
    <m/>
    <s v="Aguardando Execução "/>
    <x v="1"/>
    <m/>
  </r>
  <r>
    <s v="FB0127877"/>
    <s v="CIL mensal torradores"/>
    <x v="1"/>
    <s v="Incluir no CIL mensal dos torradores a limpeza das fornalhas internas dos torradores, a limpeza é indicado para que não haja acumulo de sujidade que pode contaminar o self clean e consequentemente as camaras de torra "/>
    <s v="Izabela Pugliesi"/>
    <s v="Pequena mudança local"/>
    <x v="2"/>
    <x v="373"/>
    <x v="2"/>
    <d v="2026-01-05T08:49:53"/>
    <s v="Bianca Silva"/>
    <s v="IDEIAS-PROCESSOS"/>
    <d v="2026-01-05T08:49:53"/>
    <s v="Fechado"/>
    <x v="1"/>
    <m/>
  </r>
  <r>
    <s v="FB0127878"/>
    <s v="CIL mensal torradores "/>
    <x v="1"/>
    <s v="Incluir limpeza de grades do sistema de resfriamento das camaras de resfriamento, a limpeza é necessário para que o sistema de resfriamento não tenha dificuldade em passagem de ar por sujidade _x000a_Frequência: mensal"/>
    <s v="Izabela Pugliesi"/>
    <s v="Pequena mudança local"/>
    <x v="2"/>
    <x v="374"/>
    <x v="2"/>
    <d v="2025-12-18T10:00:53"/>
    <s v="Bianca Silva"/>
    <s v="IDEIAS-PROCESSOS"/>
    <d v="2025-12-18T10:00:53"/>
    <s v="Fechado"/>
    <x v="1"/>
    <m/>
  </r>
  <r>
    <s v="FB0128040"/>
    <s v="Padronização das Reguladoras de fluxo do acumulador de pacotes "/>
    <x v="3"/>
    <s v="Padronizar as reguladoras de fluxo do cilindro do acumulador _x000a_sugestão: Colocarmos os reguladores que contam o numero de voltas para colocarmos no mapa de ajuste."/>
    <s v="Relton Moraes"/>
    <s v="Pequena mudança local"/>
    <x v="2"/>
    <x v="375"/>
    <x v="7"/>
    <d v="2025-11-14T14:19:27"/>
    <s v="Ana Martins"/>
    <s v="APROVADORES DE IDEIAS"/>
    <m/>
    <s v="Aguardando Execução "/>
    <x v="1"/>
    <m/>
  </r>
  <r>
    <s v="FB0128285"/>
    <s v="Incluir no CIL mensal a limpeza das ventosa "/>
    <x v="1"/>
    <s v="Treinamento de limpeza das ventosas ja foi passado para a Operação e IT ja esta realizada _x000a_Necessário incluir atividade no CIL "/>
    <s v="Relton Moraes"/>
    <s v="Pequena mudança local"/>
    <x v="2"/>
    <x v="376"/>
    <x v="23"/>
    <d v="2025-12-18T10:06:04"/>
    <s v="Bianca Silva"/>
    <s v="APROVADORES DE IDEIAS"/>
    <d v="2025-12-18T10:06:04"/>
    <s v="Fechado"/>
    <x v="1"/>
    <m/>
  </r>
  <r>
    <s v="FB0128286"/>
    <s v="Incluir no CIL a troca dos teflons das Guias internas do arremessador "/>
    <x v="1"/>
    <s v="No plano contempla somente a troca das guias da esteira rápida, necessário colocar as guias internas do arremessador (CIL mensal)"/>
    <s v="Relton Moraes"/>
    <s v="Pequena mudança local"/>
    <x v="2"/>
    <x v="377"/>
    <x v="7"/>
    <d v="2025-12-18T10:05:56"/>
    <s v="Bianca Silva"/>
    <s v="APROVADORES DE IDEIAS"/>
    <d v="2025-12-18T10:05:56"/>
    <s v="Fechado"/>
    <x v="1"/>
    <m/>
  </r>
  <r>
    <s v="FB0128292"/>
    <s v="Solda na fixação do cilindro acumulador da Raumak 04"/>
    <x v="3"/>
    <s v="Replicar melhoria do suporte da fixação do cilindro acumulador _x000a_como ocorreu a quebra dessa peça de fixação algumas vezes, foi realizado a solda do suporte no conjunto do arremessador "/>
    <s v="Relton Moraes"/>
    <s v="Pequena mudança local"/>
    <x v="2"/>
    <x v="378"/>
    <x v="5"/>
    <d v="2026-08-10T14:05:58"/>
    <s v="Anderson Santana"/>
    <s v="APROVADORES DE IDEIAS"/>
    <m/>
    <s v="Aguardando Execução "/>
    <x v="1"/>
    <m/>
  </r>
  <r>
    <s v="FB0128406"/>
    <s v="Sensor de Películas torrador 3"/>
    <x v="2"/>
    <s v="Viabilizar o funcionamento do sensor de nível de películas do torrador 3; que já existe no local está ligado, mas não funciona via supervisorio, sendo necessário monitoramento constante da operação e risco de obstrução de ciclone. "/>
    <s v="Vinicius De Oliveira"/>
    <s v="Pequena mudança local"/>
    <x v="2"/>
    <x v="379"/>
    <x v="2"/>
    <d v="2026-03-24T15:20:45"/>
    <m/>
    <s v="IDEIAS-PROCESSOS"/>
    <m/>
    <s v="Resolvido"/>
    <x v="0"/>
    <m/>
  </r>
  <r>
    <s v="FB0128543"/>
    <s v="Sistema de segurança rosca película"/>
    <x v="3"/>
    <s v="Criar um sistema &quot;reserva&quot; onde a rosca plana de película continue em funcionamento mesmo que a inclinada pare, este sistema teria que continuar expulsando a película mesmo que seja jogada no chão. Isso evitaria a obstrução dos ciclones deixando de impactar as paradas para resfriamento do torrrador, e desobstrução. _x000a__x000a_Manufatura: Precisamos de avaliação de SHE e automação por favor_x000a__x000a_SHE: Ponto de vista de SHE, ideia deveria ser cancelada, mas verificar com engenharia."/>
    <s v="Moises Costa"/>
    <s v="Pequena mudança local"/>
    <x v="4"/>
    <x v="380"/>
    <x v="2"/>
    <d v="2026-05-01T13:15:49"/>
    <m/>
    <s v="IDEIAS-PROCESSOS"/>
    <m/>
    <s v="Aguardando Validação"/>
    <x v="0"/>
    <m/>
  </r>
  <r>
    <s v="FB0128544"/>
    <s v="Mudança de rotas dos moinhos"/>
    <x v="4"/>
    <s v="Ajustar a logica para que pudesse usar diferentes moinhos para abastecer um silo, e da mesma forma puxar de um silo de grão. O exemplo usado que temos 2 moinhos parados de diferentes pares isso força o operador a utilizar apenas um moinho, se pudéssemos utilizar moinhos diferentes seria a solução para não parar moinho. EX: moinho 2 e 5 parados. Hoje poderíamos ligar o 3e4 em conjunto e escolher ligar o 1 ou o 6 . A ideia seria que os pares não fossem fixos, possibilitando ligar o moinho 1 e 3 em par e 4 e 6 em par com isso não teríamos impacto na moagem e em empacotamento._x000a__x000a_Manufatura: precisamos da avaliação de automação por favor"/>
    <s v="Moises Costa"/>
    <s v="Pequena mudança local"/>
    <x v="4"/>
    <x v="381"/>
    <x v="3"/>
    <d v="2026-06-30T14:08:46"/>
    <m/>
    <s v="APROVADORES DE IDEIAS"/>
    <m/>
    <s v="Rascunho"/>
    <x v="0"/>
    <m/>
  </r>
  <r>
    <s v="FB0128608"/>
    <s v="colocar um inforca gato no lototo"/>
    <x v="0"/>
    <s v="Melhor para encaixar no cadeado e evita o rasgo do lototo , economizando mais "/>
    <s v="Thais Souza"/>
    <s v="Pequena mudança local"/>
    <x v="0"/>
    <x v="382"/>
    <x v="5"/>
    <d v="2025-12-01T13:34:41"/>
    <m/>
    <s v="APROVADORES DE IDEIAS"/>
    <d v="2025-12-01T13:34:41"/>
    <s v="Cancelado"/>
    <x v="0"/>
    <m/>
  </r>
  <r>
    <s v="FB0128739"/>
    <s v="Alteração CIL Fabrimas "/>
    <x v="1"/>
    <s v="Mudar o modo de realizar a atividade &quot;Roletes da Fabrima&quot; para passar o varremesa e pano perflex. "/>
    <s v="Bianca Silva"/>
    <s v="Pequena mudança local"/>
    <x v="3"/>
    <x v="383"/>
    <x v="20"/>
    <d v="2025-11-25T08:59:05"/>
    <s v="Bianca Silva"/>
    <s v="IDEIAS-MELHORIA CONTÍNUA"/>
    <d v="2025-11-25T08:59:05"/>
    <s v="Fechado"/>
    <x v="1"/>
    <m/>
  </r>
  <r>
    <s v="FB0128740"/>
    <s v="Alteração no CIL das Fabrimas "/>
    <x v="1"/>
    <s v="Mudar a frequência da limpeza do acomodador do robô, ao invés de quinzenalmente ser mensalmente. Consequentemente, adicionar no CIL mensal a limpeza do mesmo. "/>
    <s v="Bianca Silva"/>
    <s v="Pequena mudança local"/>
    <x v="3"/>
    <x v="384"/>
    <x v="20"/>
    <d v="2025-11-25T08:59:44"/>
    <s v="Bianca Silva"/>
    <s v="IDEIAS-MELHORIA CONTÍNUA"/>
    <d v="2025-11-25T08:59:44"/>
    <s v="Fechado"/>
    <x v="1"/>
    <m/>
  </r>
  <r>
    <s v="FB0129252"/>
    <s v="Melhoria Centerlining PKD /Forms"/>
    <x v="1"/>
    <s v="No campo de preenchimento do produto que está sendo envasado .Ja tenha uma listas dos produtos disponível que são envasado "/>
    <s v="Patrick Pessoa"/>
    <s v="Pequena mudança local"/>
    <x v="0"/>
    <x v="385"/>
    <x v="1"/>
    <d v="2025-11-25T13:37:43"/>
    <s v="Moises Costa"/>
    <s v="IDEIAS-VACUO"/>
    <d v="2025-11-25T13:37:43"/>
    <s v="Fechado"/>
    <x v="0"/>
    <m/>
  </r>
  <r>
    <s v="FB0129296"/>
    <s v="ideia fechar todas as partes abertas das fabrimas diminuindo contaminação e sujeira "/>
    <x v="3"/>
    <s v="Ideia vinda do projeto mentalidade de dono "/>
    <s v="Carlos Souza"/>
    <s v="Pequena mudança local"/>
    <x v="6"/>
    <x v="386"/>
    <x v="5"/>
    <d v="2026-09-17T14:17:10"/>
    <s v="Jhonnathan Pereira"/>
    <s v="APROVADORES DE IDEIAS"/>
    <m/>
    <s v="Aguardando Orçamento"/>
    <x v="0"/>
    <m/>
  </r>
  <r>
    <s v="FB0129489"/>
    <s v="colarinho fabrima 5"/>
    <x v="3"/>
    <s v="Fazer marcação ,onde o filme tem que passar , para garantir uma selagem vertical perfeita , ficando mais fácil saber onde será feito o ajuste do colarinho , caso seja necessário, implementar no CIL "/>
    <s v="Angela Santos"/>
    <s v="Grande mudança local"/>
    <x v="0"/>
    <x v="387"/>
    <x v="7"/>
    <d v="2025-12-01T09:39:08"/>
    <m/>
    <s v="APROVADORES DE IDEIAS"/>
    <m/>
    <s v="Aguardando Execução "/>
    <x v="0"/>
    <m/>
  </r>
  <r>
    <s v="FB0129525"/>
    <s v="medir o nível dos roletes da data e corte "/>
    <x v="2"/>
    <s v="medir o nível dos roletes da data e corte  ( nas preventivas ), pois são roletes de fazem movimentos, podendo vir a comprometer a formação dos pacotes e a codificação "/>
    <s v="Angela Santos"/>
    <s v="Pequena mudança local"/>
    <x v="0"/>
    <x v="388"/>
    <x v="7"/>
    <d v="2026-08-03T10:24:55"/>
    <s v="Andre Mendes Costa"/>
    <s v="APROVADORES DE IDEIAS"/>
    <m/>
    <s v="Resolvido"/>
    <x v="0"/>
    <m/>
  </r>
  <r>
    <s v="FB0129528"/>
    <s v="conferir o nível do rolete do freio "/>
    <x v="2"/>
    <s v="Fazer conferência nas preventivas , do nível do rolete ,pois esse rolete faz movimentos , e já tivemos problemas com parafusos com folgas , fazendo essa conferência de nível , já pode ser inspecionados os parafusos , e o freio com problema compromete a selagem da vertical "/>
    <s v="Angela Santos"/>
    <s v="Pequena mudança local"/>
    <x v="2"/>
    <x v="389"/>
    <x v="7"/>
    <d v="2026-03-13T16:45:09"/>
    <s v="Andre Mendes Costa"/>
    <s v="APROVADORES DE IDEIAS"/>
    <m/>
    <s v="Resolvido"/>
    <x v="0"/>
    <m/>
  </r>
  <r>
    <s v="FB0129531"/>
    <s v="Aspirador pneumático com material de Kevlar"/>
    <x v="3"/>
    <s v="Desenvolver um aspirador pneumático com a bolsa de armazenamento de resíduo de kevlar, para a limpeza das estruturas dos ciclones (CIL turno a turno dos torradores); hoje é usado ar comprimido para realizar devido a temperatura alta do sistema de ciclones, porém, a área é considerada ATEX não sendo o ideal usar ar comprimido. Esse aspirador seria uma forma segura para o processo e para as pessoas. _x000a__x000a_SHE: Aprovado."/>
    <s v="Izabela Pugliesi"/>
    <s v="Pequena mudança local"/>
    <x v="1"/>
    <x v="390"/>
    <x v="22"/>
    <d v="2026-06-10T13:57:36"/>
    <s v="Guilherme Oliveira"/>
    <s v="IDEIAS-SHE"/>
    <m/>
    <s v="Aguardando Execução "/>
    <x v="1"/>
    <m/>
  </r>
  <r>
    <s v="FB0129614"/>
    <s v="inspeção "/>
    <x v="4"/>
    <s v="Inspecionar pressão dos socadores PKD "/>
    <s v="Fabricio Brant"/>
    <s v="Pequena mudança local"/>
    <x v="2"/>
    <x v="391"/>
    <x v="1"/>
    <d v="2026-06-30T14:09:01"/>
    <m/>
    <s v="APROVADORES DE IDEIAS"/>
    <m/>
    <s v="Rascunho"/>
    <x v="0"/>
    <m/>
  </r>
  <r>
    <s v="FB0129946"/>
    <s v="Correia de arraste fabrimas "/>
    <x v="2"/>
    <s v="Realizar nas preventivas o alinhamento das correias de arraste, pois é fundamental estarem alinhadas para a tração funcionar perfeitas "/>
    <s v="Angela Santos"/>
    <s v="Pequena mudança local"/>
    <x v="2"/>
    <x v="392"/>
    <x v="7"/>
    <d v="2026-09-17T10:45:42"/>
    <m/>
    <s v="APROVADORES DE IDEIAS"/>
    <m/>
    <s v="Resolvido"/>
    <x v="0"/>
    <m/>
  </r>
  <r>
    <s v="FB0129965"/>
    <s v="Instalação de sensor ultrassônico no silos de biomassa "/>
    <x v="3"/>
    <s v="Atualmente, o sensor de nível máximo dos silos de serviço (biomassa) é do tipo capacitivo, dependente de contato para atuar. Temos ocorrências crônicas de formação de bolsões de ar no interior do silo, impedindo o acionamento do sensor e resultando em transbordamentos._x000a__x000a_A proposta é substituir o sensor capacitivo por um sensor ultrassônico, que não requer contato com o material para realizar a medição. Esse tipo de sensor permite medir distâncias e níveis, além de detectar presença de objetos ou obstáculos, mantendo desempenho mesmo em ambientes com poeira ou superfícies irregulares."/>
    <s v="Henrique Cardoso"/>
    <s v="Pequena mudança local"/>
    <x v="2"/>
    <x v="393"/>
    <x v="31"/>
    <d v="2025-12-01T15:06:36"/>
    <s v="Ana Martins"/>
    <s v="IDEIAS-PROCESSOS"/>
    <m/>
    <s v="Aguardando Validação"/>
    <x v="1"/>
    <m/>
  </r>
  <r>
    <s v="FB0129970"/>
    <s v="Instalação de softstarter no sistema de partida das roscas extratoras dos Moinhos"/>
    <x v="3"/>
    <s v="Atualmente, as roscas extratoras dos moinhos operam em partida direta, ou seja, os motores não utilizam rampa de aceleração suave. Esse modo de partida provoca esforços mecânicos elevados, resultando em desgaste prematuro tanto dos motores quanto das roscas, além de aumentar os custos de manutenção e o tempo de parada dos moinhos."/>
    <s v="Henrique Cardoso"/>
    <s v="Pequena mudança local"/>
    <x v="4"/>
    <x v="394"/>
    <x v="20"/>
    <d v="2026-09-04T15:32:49"/>
    <m/>
    <s v="APROVADORES DE IDEIAS"/>
    <m/>
    <s v="Aguardando Execução "/>
    <x v="1"/>
    <m/>
  </r>
  <r>
    <s v="FB0130456"/>
    <s v="Limpeza do gerador de vácuo do robô - CIL"/>
    <x v="1"/>
    <s v="Incluir no CIL a limpeza do gerador de vácuo do robô e a inspeção da integridade das borradas._x000a__x000a_A LUP sobre essa atividade já existe. Ao incluir no CIL colocar a referência da LUP: 07-13.494"/>
    <s v="Luzia Rodrigues"/>
    <s v="Pequena mudança local"/>
    <x v="2"/>
    <x v="395"/>
    <x v="20"/>
    <d v="2025-12-18T10:05:48"/>
    <s v="Bianca Silva"/>
    <s v="IDEIAS-MELHORIA CONTÍNUA"/>
    <d v="2025-12-18T10:05:48"/>
    <s v="Fechado"/>
    <x v="1"/>
    <m/>
  </r>
  <r>
    <s v="FB0130496"/>
    <s v=" CIL MENSAL"/>
    <x v="1"/>
    <s v="Realizar lubrificação das guias lineares do introdutor de pacotes (esteira de entrada da encaixotadora)"/>
    <s v="Fabricio Brant"/>
    <s v="Pequena mudança local"/>
    <x v="4"/>
    <x v="396"/>
    <x v="1"/>
    <d v="2025-12-18T10:05:24"/>
    <s v="Bianca Silva"/>
    <s v="IDEIAS-VACUO"/>
    <d v="2025-12-18T10:05:24"/>
    <s v="Fechado"/>
    <x v="0"/>
    <m/>
  </r>
  <r>
    <s v="FB0130497"/>
    <s v="CIL MENSAL"/>
    <x v="3"/>
    <s v="Realizar  lubrificação do mancal oposto ao acionamento da corrente principal "/>
    <s v="Fabricio Brant"/>
    <s v="Pequena mudança local"/>
    <x v="2"/>
    <x v="397"/>
    <x v="1"/>
    <d v="2026-09-11T14:43:30"/>
    <s v="Valeria Yanez"/>
    <s v="APROVADORES DE IDEIAS"/>
    <m/>
    <s v="Aguardando Execução "/>
    <x v="0"/>
    <m/>
  </r>
  <r>
    <s v="FB0130498"/>
    <s v="CIL MENSAL "/>
    <x v="1"/>
    <s v="Realizar lubrificação dos mancais da esteira de saída do robô "/>
    <s v="Fabricio Brant"/>
    <s v="Pequena mudança local"/>
    <x v="2"/>
    <x v="398"/>
    <x v="1"/>
    <d v="2026-01-05T08:46:52"/>
    <s v="Bianca Silva"/>
    <s v="IDEIAS-VACUO"/>
    <d v="2026-01-05T08:46:52"/>
    <s v="Fechado"/>
    <x v="0"/>
    <m/>
  </r>
  <r>
    <s v="FB0130499"/>
    <s v="CIL Mensal "/>
    <x v="1"/>
    <s v="Realizar lubrificação do mancal do acionamento do magazine de caixa"/>
    <s v="Fabricio Brant"/>
    <s v="Pequena mudança local"/>
    <x v="2"/>
    <x v="399"/>
    <x v="1"/>
    <d v="2025-12-18T10:05:12"/>
    <s v="Bianca Silva"/>
    <s v="IDEIAS-VACUO"/>
    <d v="2025-12-18T10:05:12"/>
    <s v="Fechado"/>
    <x v="0"/>
    <m/>
  </r>
  <r>
    <s v="FB0130500"/>
    <s v="CIL Mensal "/>
    <x v="1"/>
    <s v="Realizar lubrificação das guias do magazine de caixa"/>
    <s v="Fabricio Brant"/>
    <s v="Pequena mudança local"/>
    <x v="2"/>
    <x v="400"/>
    <x v="1"/>
    <d v="2025-12-18T10:05:18"/>
    <s v="Bianca Silva"/>
    <s v="IDEIAS-VACUO"/>
    <d v="2025-12-18T10:05:18"/>
    <s v="Fechado"/>
    <x v="0"/>
    <m/>
  </r>
  <r>
    <s v="FB0130501"/>
    <s v="CIL Mensal "/>
    <x v="1"/>
    <s v="Adicionar o ponto &quot;Magazine de Caixas&quot; no CIL da PKD. _x000a__x000a_Observação: lubrificação. "/>
    <s v="Bianca Silva"/>
    <s v="Pequena mudança local"/>
    <x v="4"/>
    <x v="401"/>
    <x v="1"/>
    <d v="2025-12-18T10:02:28"/>
    <s v="Bianca Silva"/>
    <s v="IDEIAS-VACUO"/>
    <d v="2025-12-18T10:02:28"/>
    <s v="Fechado"/>
    <x v="1"/>
    <m/>
  </r>
  <r>
    <s v="FB0130502"/>
    <s v="CIL Mensal "/>
    <x v="1"/>
    <s v="Adicionar o ponto &quot;Guias da corrente e engrenagens do magazine de caixas&quot; no CIL da PKD. _x000a__x000a_Observação: lubrificação. "/>
    <s v="Bianca Silva"/>
    <s v="Pequena mudança local"/>
    <x v="2"/>
    <x v="402"/>
    <x v="1"/>
    <d v="2025-12-18T10:03:10"/>
    <s v="Bianca Silva"/>
    <s v="IDEIAS-VACUO"/>
    <d v="2025-12-18T10:03:10"/>
    <s v="Fechado"/>
    <x v="1"/>
    <m/>
  </r>
  <r>
    <s v="FB0130503"/>
    <s v="CIL Mensal"/>
    <x v="1"/>
    <s v="Adicionar o ponto &quot;Braço das Ventosas&quot; no CIL da PKD. _x000a__x000a_Observação: lubrificação. "/>
    <s v="Bianca Silva"/>
    <s v="Pequena mudança local"/>
    <x v="2"/>
    <x v="403"/>
    <x v="1"/>
    <d v="2025-12-18T10:03:47"/>
    <s v="Bianca Silva"/>
    <s v="IDEIAS-VACUO"/>
    <d v="2025-12-18T10:03:47"/>
    <s v="Fechado"/>
    <x v="1"/>
    <m/>
  </r>
  <r>
    <s v="FB0130504"/>
    <s v="CIL Mensal"/>
    <x v="1"/>
    <s v="Adicionar o ponto &quot;Virador de Caixas&quot; no CIL da PKD. _x000a__x000a_Observação: lubrificação. "/>
    <s v="Bianca Silva"/>
    <s v="Pequena mudança local"/>
    <x v="2"/>
    <x v="404"/>
    <x v="1"/>
    <d v="2025-12-18T10:02:46"/>
    <s v="Bianca Silva"/>
    <s v="IDEIAS-VACUO"/>
    <d v="2025-12-18T10:02:46"/>
    <s v="Fechado"/>
    <x v="1"/>
    <m/>
  </r>
  <r>
    <s v="FB0130505"/>
    <s v="CIL Mensal"/>
    <x v="0"/>
    <s v="Adicionar o ponto &quot;Esteira de entrada de pacote&quot; no CIL da PKD. _x000a__x000a_Observação: lubrificação. "/>
    <s v="Bianca Silva"/>
    <s v="Pequena mudança local"/>
    <x v="2"/>
    <x v="405"/>
    <x v="20"/>
    <d v="2025-12-11T23:53:29"/>
    <m/>
    <s v="IDEIAS-MELHORIA CONTÍNUA"/>
    <d v="2025-12-11T23:53:29"/>
    <s v="Cancelado"/>
    <x v="1"/>
    <m/>
  </r>
  <r>
    <s v="FB0130794"/>
    <s v="Ideia André: Ponto eletrônico Secullum - registro facil"/>
    <x v="4"/>
    <s v="André deu a sugestão de alterar o ponto para o Secullum conforme vídeo: https://www.youtube.com/watch?v=zd_dyr3VODk&amp;t=1s"/>
    <s v="Michelle Faria"/>
    <s v="Pequena mudança local"/>
    <x v="0"/>
    <x v="406"/>
    <x v="16"/>
    <d v="2026-07-03T11:06:30"/>
    <m/>
    <s v="APROVADORES DE IDEIAS"/>
    <m/>
    <s v="Rascunho"/>
    <x v="1"/>
    <m/>
  </r>
  <r>
    <s v="FB0130845"/>
    <s v="Falta de escada nas fabrimas "/>
    <x v="0"/>
    <s v="Falta de escada nas fabrimas, e uso obrigatório é necessário! Peço que possam estar solicitando 3 escadas uma para 2 e uma 4 e outra para 5 para fácil manuseio"/>
    <s v="Emilly Silva"/>
    <s v="Pequena mudança local"/>
    <x v="0"/>
    <x v="407"/>
    <x v="19"/>
    <d v="2026-04-16T16:13:04"/>
    <m/>
    <s v="APROVADORES DE IDEIAS"/>
    <d v="2026-04-16T16:13:04"/>
    <s v="Cancelado"/>
    <x v="0"/>
    <m/>
  </r>
  <r>
    <s v="FB0131272"/>
    <s v="GANCHOS PARA CAPA DE CHUVA"/>
    <x v="3"/>
    <s v="Instalar próximo a prateleira de capacetes, ganchos para pendurar capas de chuva."/>
    <s v="Aline Fernandes"/>
    <s v="Pequena mudança local"/>
    <x v="0"/>
    <x v="408"/>
    <x v="16"/>
    <d v="2026-07-03T11:06:59"/>
    <m/>
    <s v="APROVADORES DE IDEIAS"/>
    <m/>
    <s v="Aguardando material "/>
    <x v="1"/>
    <m/>
  </r>
  <r>
    <s v="FB0131366"/>
    <s v="ter um suporte com uma placa informando qual café está moendo nos moinhos que tem as moegas."/>
    <x v="2"/>
    <s v="O intuito é que possa ser mais rápido para reprocessar."/>
    <s v="Ruth Fonseca"/>
    <s v="Pequena mudança local"/>
    <x v="3"/>
    <x v="409"/>
    <x v="0"/>
    <d v="2026-07-21T16:29:16"/>
    <s v="Angelina Destefani"/>
    <s v="APROVADORES DE IDEIAS"/>
    <m/>
    <s v="Resolvido"/>
    <x v="0"/>
    <m/>
  </r>
  <r>
    <s v="FB0131371"/>
    <s v="CIL Mensal"/>
    <x v="1"/>
    <s v="Adicionar o ponto &quot;Esteira de entrada de pacote&quot; no CIL da PKD. _x000a__x000a_Observação: lubrificação. "/>
    <s v="Bianca Silva"/>
    <s v="Pequena mudança local"/>
    <x v="2"/>
    <x v="410"/>
    <x v="1"/>
    <d v="2025-12-18T10:02:57"/>
    <s v="Bianca Silva"/>
    <s v="IDEIAS-VACUO"/>
    <d v="2025-12-18T10:02:57"/>
    <s v="Fechado"/>
    <x v="1"/>
    <m/>
  </r>
  <r>
    <s v="FB0131419"/>
    <s v="fazer um suporte para colocar embalagem de teste de R.o"/>
    <x v="0"/>
    <s v="Fazer caixa de suporte para embalagem de teste de R.O"/>
    <s v="Edvan Santos"/>
    <s v="Pequena mudança local"/>
    <x v="3"/>
    <x v="411"/>
    <x v="21"/>
    <d v="2026-04-16T16:11:05"/>
    <m/>
    <s v="APROVADORES DE IDEIAS"/>
    <d v="2026-04-16T16:11:05"/>
    <s v="Cancelado"/>
    <x v="0"/>
    <m/>
  </r>
  <r>
    <s v="FB0131422"/>
    <s v="Extensão da altura da moega de Cavaco"/>
    <x v="2"/>
    <s v="A ideia é aumentar a altura das laterais e da parte de trás da moega em 60 cm para evitar cair cavaco no chão. A altura da parte da frente será mantida._x000a__x000a_"/>
    <s v="Nilton F Costa"/>
    <s v="Pequena mudança local"/>
    <x v="0"/>
    <x v="412"/>
    <x v="8"/>
    <d v="2026-05-29T11:39:08"/>
    <s v="Valeria Yanez"/>
    <s v="IDEIAS-CAFÉ CRÚ"/>
    <m/>
    <s v="Resolvido"/>
    <x v="0"/>
    <m/>
  </r>
  <r>
    <s v="FB0131431"/>
    <s v="melhoria das caçamba de rejeito do torrador "/>
    <x v="2"/>
    <s v="A ideia é reaproveitar a caçamba que será inutilizada para substituir o big bag que fica para armazenar o rejeito de poeira dos captadores de pó. Para implementar essa substituição, será necessário afunilar o fundo de forma que a abertura do fundo para descarte final fique centralizado para facilitar o escoamento do pó, evitando a dispersão de pó na área externa ao realizar o descarte na caçamba da ambipar e o impacto da estrutura da tampa na caçamba, diminuindo o desgaste da estrutura da caçamba. Além de realizar uma melhoria na da alça para transporte que seria completa, melhorando o encaixe do garfo."/>
    <s v="Nilton F Costa"/>
    <s v="Pequena mudança local"/>
    <x v="0"/>
    <x v="413"/>
    <x v="8"/>
    <d v="2026-08-10T14:07:36"/>
    <s v="Flavia Silveira"/>
    <s v="APROVADORES DE IDEIAS"/>
    <m/>
    <s v="Resolvido"/>
    <x v="0"/>
    <m/>
  </r>
  <r>
    <s v="FB0131465"/>
    <s v="mangueira de ar PKD"/>
    <x v="1"/>
    <s v="Sugiro que está mangueira tenha um tamanho menor , que fosse o suficiente para limpar a balança e colocar ar no eixo da bobina _x000a__x000a_MANUTENÇÃO: IDEIA OK, POREM AVALIAR A VIABILIDADE COM A MANUFATURA."/>
    <s v="Romilda Cunha"/>
    <s v="Pequena mudança local"/>
    <x v="0"/>
    <x v="414"/>
    <x v="1"/>
    <d v="2026-01-27T15:47:30"/>
    <m/>
    <s v="IDEIAS-VACUO"/>
    <d v="2026-01-27T15:47:30"/>
    <s v="Fechado"/>
    <x v="0"/>
    <m/>
  </r>
  <r>
    <s v="FB0131529"/>
    <s v="exaustor na área de descarga do café cru"/>
    <x v="0"/>
    <s v="Colocar um sistema de exaustão de pó e calor em cima da área de descarga de café cru_x000a__x000a_MANUTENÇÃO E ENGENHARIA: IDEIA INVIAVEL, VISTO QUE A UM PROJETO QUE SERÁ EXECUTADO FUTURAMENTE QUE IRÁ RESOLVER ESSE PROBLEMA, ALÉM DISSO TRATA-SE DE UM PROJETO E NÃO DE UMA IDEIA, VISTO QUE ECONOMICAMENTE FALANDO SERIA DE ALTO VALOR."/>
    <s v="Valdeci Simoes"/>
    <s v="Pequena mudança local"/>
    <x v="2"/>
    <x v="415"/>
    <x v="8"/>
    <d v="2026-01-12T10:23:10"/>
    <m/>
    <s v="IDEIAS-CAFÉ CRÚ"/>
    <d v="2026-01-12T10:23:10"/>
    <s v="Cancelado"/>
    <x v="0"/>
    <m/>
  </r>
  <r>
    <s v="FB0131780"/>
    <s v="redução do trilho da caçamba de captação de pó do despredador 2"/>
    <x v="2"/>
    <s v="Deveríamos reduzir o comprimento do trilho para evitarmos colisões do pneu da empilhadeira_x000a__x000a_Podemos realizar internamente, só precisa de um mecânico para cortar a peça._x000a__x000a_Pedro Ferreira: Ideia aprovada e será realizada pela manutenção assim que possível."/>
    <s v="Nilton F Costa"/>
    <s v="Pequena mudança local"/>
    <x v="1"/>
    <x v="416"/>
    <x v="8"/>
    <d v="2026-03-16T08:58:05"/>
    <m/>
    <s v="IDEIAS-CAFÉ CRÚ"/>
    <m/>
    <s v="Resolvido"/>
    <x v="0"/>
    <m/>
  </r>
  <r>
    <s v="FB0131781"/>
    <s v="suporte de trava para segurar o portão de entrada da carreta café cru"/>
    <x v="2"/>
    <s v="Melhorar a segurança do portão em caso de ventos e chuvas fortes _x000a_MANUTENÇÃO: ESTÁ VERIFICANDO VIABILIDADE"/>
    <s v="Thais Souza"/>
    <s v="Pequena mudança local"/>
    <x v="1"/>
    <x v="417"/>
    <x v="5"/>
    <d v="2026-07-29T13:25:49"/>
    <s v="Pedro Ferreira"/>
    <s v="APROVADORES DE IDEIAS"/>
    <m/>
    <s v="Resolvido"/>
    <x v="0"/>
    <m/>
  </r>
  <r>
    <s v="FB0131895"/>
    <s v="Realizar a colocação de ponto de tomada "/>
    <x v="1"/>
    <s v="Realizar a implantação de tomada  no ponto demarcado para o uso do aspirador de pó na encaixotadora._x000a_Ideia discutida com o Eletrônico Wallace "/>
    <s v="Patrick Pessoa"/>
    <s v="Pequena mudança local"/>
    <x v="0"/>
    <x v="418"/>
    <x v="1"/>
    <d v="2026-01-20T11:13:06"/>
    <s v="Wallace Pereira"/>
    <s v="IDEIAS-VACUO"/>
    <d v="2026-01-20T11:13:06"/>
    <s v="Fechado"/>
    <x v="0"/>
    <m/>
  </r>
  <r>
    <s v="FB0132034"/>
    <s v="Inclusão de atividade no CIL "/>
    <x v="2"/>
    <s v="Incluir a atividade de limpeza das ventosas do robô no CIL mensal, tendo em vista que o pessoal ja foi treinado da forma correta de realizar a atividade "/>
    <s v="Relton Moraes"/>
    <s v="Pequena mudança local"/>
    <x v="2"/>
    <x v="419"/>
    <x v="0"/>
    <d v="2026-05-14T14:49:13"/>
    <s v="Bianca Silva"/>
    <s v="APROVADORES DE IDEIAS"/>
    <m/>
    <s v="Resolvido"/>
    <x v="1"/>
    <m/>
  </r>
  <r>
    <s v="FB0132035"/>
    <s v="Inclusão de atividade no CIL "/>
    <x v="2"/>
    <s v="Incluir no CIL mensal a atividade de limpeza da lona da esteira rápida, tendo em vista que e um ponto que quando sujo pode causar má formação de fardos... devido a sujeira o pacote não e tracionado corretamente pela esteira."/>
    <s v="Relton Moraes"/>
    <s v="Pequena mudança local"/>
    <x v="2"/>
    <x v="420"/>
    <x v="0"/>
    <d v="2026-08-04T05:55:41"/>
    <s v="Thaissa Oliveira"/>
    <s v="APROVADORES DE IDEIAS"/>
    <m/>
    <s v="Resolvido"/>
    <x v="1"/>
    <m/>
  </r>
  <r>
    <s v="FB0132038"/>
    <s v="Inclusão de atividade no CIL mensal"/>
    <x v="2"/>
    <s v="Incluir a atividade do CIL mensal de troca dos teflons das guias da esteira rápida e as guias do arremessador (Pontos onde quando há desgaste dos teflons causa muitas paradas não planejadas por má formação de fardos"/>
    <s v="Relton Moraes"/>
    <s v="Pequena mudança local"/>
    <x v="2"/>
    <x v="421"/>
    <x v="0"/>
    <d v="2026-07-03T11:10:01"/>
    <s v="Thaissa Oliveira"/>
    <s v="APROVADORES DE IDEIAS"/>
    <m/>
    <s v="Resolvido"/>
    <x v="1"/>
    <m/>
  </r>
  <r>
    <s v="FB0133405"/>
    <s v="adicionar ar comprimido "/>
    <x v="0"/>
    <s v="Adicionar uma mangueira de ar comprimido no lado citado na seta, para melhoria de limpeza da plataforma."/>
    <s v="Pablulo Andrade"/>
    <s v="Pequena mudança local"/>
    <x v="0"/>
    <x v="422"/>
    <x v="8"/>
    <d v="2026-04-20T17:37:56"/>
    <s v="Giovanna Biffaratte"/>
    <s v="IDEIAS-CAFÉ CRÚ"/>
    <d v="2026-04-20T17:37:56"/>
    <s v="Cancelado"/>
    <x v="0"/>
    <m/>
  </r>
  <r>
    <s v="FB0133528"/>
    <s v="alteração da batelada silo 11"/>
    <x v="1"/>
    <s v="Altera o peso da batelada de 500 para 250 kilos.Igor fez a melhoria está pendente teste."/>
    <s v="Fernando J Santos"/>
    <s v="Pequena mudança local"/>
    <x v="2"/>
    <x v="423"/>
    <x v="8"/>
    <d v="2026-01-19T10:13:00"/>
    <s v="Igor Sousa"/>
    <s v="IDEIAS-CAFÉ CRÚ"/>
    <d v="2026-01-19T10:13:00"/>
    <s v="Fechado"/>
    <x v="0"/>
    <m/>
  </r>
  <r>
    <s v="FB0133529"/>
    <s v="Batente do tubo formador"/>
    <x v="3"/>
    <s v="Criar um centerlining do batente do tubo formador, com uma margem ou um padrão fixo, visando evitar ajustes nele."/>
    <s v="Rafael Santos"/>
    <s v="Pequena mudança local"/>
    <x v="4"/>
    <x v="424"/>
    <x v="7"/>
    <d v="2026-02-02T15:47:33"/>
    <s v="Moises Costa"/>
    <s v="APROVADORES DE IDEIAS"/>
    <m/>
    <s v="Aguardando Orçamento"/>
    <x v="0"/>
    <m/>
  </r>
  <r>
    <s v="FB0133631"/>
    <s v="Vamos Nos Movimentar"/>
    <x v="4"/>
    <s v="JDE subsidiar inscrições ou parte da inscrição para iniciativas de práticas em competições esportivas. Exemplo: inscrições em corridas de rua, campeonatos de beach tennis, e etc. Interessante se tiver um uniforme para que o associado leve a companhia também para o evento."/>
    <s v="Tiago Carvalho"/>
    <s v="Pequena mudança local"/>
    <x v="1"/>
    <x v="425"/>
    <x v="16"/>
    <d v="2026-07-02T14:14:07"/>
    <m/>
    <s v="APROVADORES DE IDEIAS"/>
    <m/>
    <s v="Rascunho"/>
    <x v="1"/>
    <m/>
  </r>
  <r>
    <s v="FB0134193"/>
    <s v="Trava da bailarina 4"/>
    <x v="2"/>
    <s v="Criar uma trava para auxilio na troca de bobina fabrima 4 _x000a_"/>
    <s v="Arthur Silva"/>
    <s v="Pequena mudança local"/>
    <x v="2"/>
    <x v="426"/>
    <x v="5"/>
    <d v="2026-03-12T10:49:36"/>
    <s v="Arthur Silva"/>
    <s v="APROVADORES DE IDEIAS"/>
    <m/>
    <s v="Resolvido"/>
    <x v="1"/>
    <m/>
  </r>
  <r>
    <s v="FB0134194"/>
    <s v="Trava da bailarina 5 "/>
    <x v="2"/>
    <s v="Criar uma trava para auxilio na troca de bobina fabrima 5"/>
    <s v="Arthur Silva"/>
    <s v="Pequena mudança local"/>
    <x v="2"/>
    <x v="427"/>
    <x v="7"/>
    <d v="2026-01-30T14:08:03"/>
    <m/>
    <s v="APROVADORES DE IDEIAS"/>
    <m/>
    <s v="Resolvido"/>
    <x v="1"/>
    <m/>
  </r>
  <r>
    <s v="FB0134195"/>
    <s v="Sensor da caçamba de pelicula com diversas falhas"/>
    <x v="2"/>
    <s v="Mudar o modelo de sensor e fazer um novo suporte para que não ocorra a leitura de fumaça e fique atuando indevidamente e que nao ocorra a não leitura da pelicula"/>
    <s v="Arthur Silva"/>
    <s v="Pequena mudança local"/>
    <x v="2"/>
    <x v="428"/>
    <x v="11"/>
    <d v="2026-04-14T06:23:47"/>
    <s v="Arthur Silva"/>
    <s v="IDEIAS-PROCESSOS"/>
    <m/>
    <s v="Resolvido"/>
    <x v="1"/>
    <m/>
  </r>
  <r>
    <s v="FB0134196"/>
    <s v="Arraste da linha 5"/>
    <x v="2"/>
    <s v="Realizar mudança na confecção do eixo do arraste afim de sanar folgas nos acoplamento e diminuição de quebras provenientes desses acoplamentos, _x000a_Padronização tbm dos motoredutores"/>
    <s v="Arthur Silva"/>
    <s v="Pequena mudança local"/>
    <x v="4"/>
    <x v="429"/>
    <x v="7"/>
    <d v="2026-01-30T14:08:35"/>
    <m/>
    <s v="APROVADORES DE IDEIAS"/>
    <m/>
    <s v="Resolvido"/>
    <x v="1"/>
    <m/>
  </r>
  <r>
    <s v="FB0134197"/>
    <s v="Tomadas dos motores do arraste da fabrima 4"/>
    <x v="1"/>
    <s v="Montar tomadas para facil desligamento dos motores do arraste da fabrima 4, (copiar layout da fabrima 5)"/>
    <s v="Arthur Silva"/>
    <s v="Pequena mudança local"/>
    <x v="2"/>
    <x v="430"/>
    <x v="5"/>
    <d v="2026-01-14T13:16:33"/>
    <s v="Arthur Silva"/>
    <s v="APROVADORES DE IDEIAS"/>
    <d v="2026-01-14T13:16:33"/>
    <s v="Fechado"/>
    <x v="1"/>
    <m/>
  </r>
  <r>
    <s v="FB0135036"/>
    <s v="Instalar um interruptor do lado da porta do almoxarifado "/>
    <x v="1"/>
    <s v="Instalar um interruptor do lado da porta do almoxarifado, pois o que temos fica muito distante da porta, assim podemos ligar e desligar sempre que não tiver ninguém na sala "/>
    <s v="Joelma Inone"/>
    <s v="Pequena mudança local"/>
    <x v="5"/>
    <x v="431"/>
    <x v="16"/>
    <d v="2026-02-10T10:39:39"/>
    <s v="Ana Martins"/>
    <s v="IDEIAS-ADMINISTRATIVO"/>
    <d v="2026-02-10T10:39:39"/>
    <s v="Fechado"/>
    <x v="0"/>
    <m/>
  </r>
  <r>
    <s v="FB0135037"/>
    <s v="pedestal fixo "/>
    <x v="2"/>
    <s v="Pedestal fixo para nosso estoque 3001 e 3003 sendo que 2 metros custa R$603 ,57 "/>
    <s v="Joelma Inone"/>
    <s v="Pequena mudança local"/>
    <x v="0"/>
    <x v="432"/>
    <x v="16"/>
    <d v="2026-07-21T10:07:07"/>
    <s v="Sarah Teixeira"/>
    <s v="APROVADORES DE IDEIAS"/>
    <m/>
    <s v="Resolvido"/>
    <x v="0"/>
    <m/>
  </r>
  <r>
    <s v="FB0135171"/>
    <s v="CIL Mensal PKD "/>
    <x v="2"/>
    <s v="Adicionar o ponto de lubrificação na Roda de Mandril - Conforme IT "/>
    <s v="Bianca Silva"/>
    <s v="Pequena mudança local"/>
    <x v="3"/>
    <x v="433"/>
    <x v="1"/>
    <d v="2026-06-19T09:49:43"/>
    <m/>
    <s v="IDEIAS-VACUO"/>
    <m/>
    <s v="Resolvido"/>
    <x v="1"/>
    <m/>
  </r>
  <r>
    <s v="FB0135172"/>
    <s v="CIL Mensal PKD "/>
    <x v="2"/>
    <s v="Adicionar o ponto de lubrificação na extração de pacotes do mandril "/>
    <s v="Bianca Silva"/>
    <s v="Pequena mudança local"/>
    <x v="3"/>
    <x v="434"/>
    <x v="1"/>
    <d v="2026-06-19T09:50:57"/>
    <s v="Thaissa Oliveira"/>
    <s v="IDEIAS-VACUO"/>
    <m/>
    <s v="Resolvido"/>
    <x v="1"/>
    <m/>
  </r>
  <r>
    <s v="FB0135173"/>
    <s v="CIL Mensal PKD "/>
    <x v="2"/>
    <s v="Adicionar o ponto de lubrificação das guias dp conjunto de socadores 1 "/>
    <s v="Bianca Silva"/>
    <s v="Pequena mudança local"/>
    <x v="4"/>
    <x v="435"/>
    <x v="1"/>
    <d v="2026-06-19T09:51:31"/>
    <s v="Thaissa Oliveira"/>
    <s v="IDEIAS-VACUO"/>
    <m/>
    <s v="Resolvido"/>
    <x v="1"/>
    <m/>
  </r>
  <r>
    <s v="FB0135184"/>
    <s v="CIL Mensal PKD "/>
    <x v="2"/>
    <s v="Adicionar o ponto de lubrificação  do came e eixo do movimento dos socadores 1"/>
    <s v="Bianca Silva"/>
    <s v="Pequena mudança local"/>
    <x v="2"/>
    <x v="436"/>
    <x v="0"/>
    <d v="2026-07-02T14:15:03"/>
    <s v="Moises Costa"/>
    <s v="APROVADORES DE IDEIAS"/>
    <m/>
    <s v="Resolvido"/>
    <x v="1"/>
    <m/>
  </r>
  <r>
    <s v="FB0135706"/>
    <s v="usa caixas novas pra acender a fornalha "/>
    <x v="2"/>
    <s v="Poderia usar uma gaiola somente com as caixas de descarte da encaixotadora e com as capas de papelão que vem no pallet de caixas , para acender a fornalha . Operadores de torrador pegam caixas novas para a atividade"/>
    <s v="Romilda Cunha"/>
    <s v="Pequena mudança local"/>
    <x v="4"/>
    <x v="437"/>
    <x v="0"/>
    <d v="2026-07-03T10:37:33"/>
    <s v="Valeria Yanez"/>
    <s v="APROVADORES DE IDEIAS"/>
    <m/>
    <s v="Resolvido"/>
    <x v="0"/>
    <m/>
  </r>
  <r>
    <s v="FB0135886"/>
    <s v="escada para descer na carreta"/>
    <x v="0"/>
    <s v="Facilita na descida e na subida "/>
    <s v="Thais Souza"/>
    <s v="Pequena mudança local"/>
    <x v="1"/>
    <x v="438"/>
    <x v="5"/>
    <d v="2026-02-02T14:51:06"/>
    <m/>
    <s v="APROVADORES DE IDEIAS"/>
    <d v="2026-02-02T14:51:06"/>
    <s v="Cancelado"/>
    <x v="0"/>
    <m/>
  </r>
  <r>
    <s v="FB0135902"/>
    <s v="Balança no Refeitório"/>
    <x v="0"/>
    <s v="Disponibilizar uma balança no refeitório para que os associados que estão em dieta possam pesar a quantidade correta da alimentação."/>
    <s v="Tiago Carvalho"/>
    <s v="Pequena mudança local"/>
    <x v="1"/>
    <x v="439"/>
    <x v="16"/>
    <d v="2026-02-10T09:53:41"/>
    <m/>
    <s v="IDEIAS-ADMINISTRATIVO"/>
    <d v="2026-02-10T09:53:41"/>
    <s v="Cancelado"/>
    <x v="1"/>
    <m/>
  </r>
  <r>
    <s v="FB0136079"/>
    <s v="Adicionado o carregador de rádio junto ao carregador do tablet na caixa posicionada na linha."/>
    <x v="1"/>
    <s v="Adicionar o carregador do radio na caixa que fica na linha das fabrimas que atualmente contem o carregador do tablet "/>
    <s v="Valeria Yanez"/>
    <s v="Pequena mudança local"/>
    <x v="0"/>
    <x v="440"/>
    <x v="0"/>
    <d v="2026-02-02T13:36:09"/>
    <m/>
    <s v="APROVADORES DE IDEIAS"/>
    <d v="2026-02-02T13:36:09"/>
    <s v="Fechado"/>
    <x v="1"/>
    <m/>
  </r>
  <r>
    <s v="FB0136950"/>
    <s v="Alteração lógica de zerar os silos de café verde"/>
    <x v="2"/>
    <s v="Hoje conseguimos zerar o silo com qualquer quantidade desde que o sensor esteja apagado, porém no dia 21 de janeiro houve uma falha no sensor do silo 16 onde o mesmo apagou e zeraram ele com aproximadamente 6 tons, depois ao jogar café misturou dois componentes diferentes._x000a_A ideia seria mudar a lógica para permitir que zerasse o silo somente com menos de 1 ton quando o sensor estiver apagado, pois quantidades acima deste valor necessitaria de verificação eletrônica._x000a_Está ideia pode ser executado internamente com nosso técnico eletrônico Igor Santos."/>
    <s v="Fernando J Santos"/>
    <s v="Pequena mudança local"/>
    <x v="7"/>
    <x v="441"/>
    <x v="8"/>
    <d v="2026-02-09T10:32:28"/>
    <m/>
    <s v="IDEIAS-CAFÉ CRÚ"/>
    <m/>
    <s v="Resolvido"/>
    <x v="0"/>
    <m/>
  </r>
  <r>
    <s v="FB0137281"/>
    <s v="Apalpador de Cordão"/>
    <x v="3"/>
    <s v="Sugiro fazer a replicação do modelo de apalpador do tipo cordão para resolver o café na solda, visto que já é utilizado nas plantas de jundiai e Salvador demonstrando grande eficácia visto que esse é a solução para nossos grandes impactos P18"/>
    <s v="Rafael Santos"/>
    <s v="Pequena mudança local"/>
    <x v="4"/>
    <x v="442"/>
    <x v="0"/>
    <d v="2026-04-23T09:22:29"/>
    <s v="Ruth Ribeiro"/>
    <s v="APROVADORES DE IDEIAS"/>
    <m/>
    <s v="Aguardando material "/>
    <x v="0"/>
    <m/>
  </r>
  <r>
    <s v="FB0137691"/>
    <s v="Troca do conjunto do dobrador de abas inferior "/>
    <x v="2"/>
    <s v="Realizar a troca do conjunto do dobrador de abas inferior, gerando melhoria evitando a quebra do cilindro, visto que o cilindro rotativo, quebrava com frequência, trocando para um cilindro linear duplo esse problema será solucionado. "/>
    <s v="Alexandre Oliveira"/>
    <s v="Pequena mudança local"/>
    <x v="2"/>
    <x v="443"/>
    <x v="1"/>
    <d v="2026-06-16T11:18:19"/>
    <m/>
    <s v="IDEIAS-VACUO"/>
    <m/>
    <s v="Resolvido"/>
    <x v="1"/>
    <m/>
  </r>
  <r>
    <s v="FB0137791"/>
    <s v="colocar espelhos confesso "/>
    <x v="3"/>
    <s v="Colocar espelhos confessos nos portões onde passamos com as empilhadeiras assim. Temos uma boa visibilidade e colocar dos dois lados ( pesquisei o custo e no mercado livre sai a R$160.00 cada ) "/>
    <s v="Joelma Inone"/>
    <s v="Pequena mudança local"/>
    <x v="1"/>
    <x v="444"/>
    <x v="22"/>
    <d v="2026-07-28T16:44:44"/>
    <m/>
    <s v="APROVADORES DE IDEIAS"/>
    <m/>
    <s v="Aguardando Orçamento"/>
    <x v="0"/>
    <m/>
  </r>
  <r>
    <s v="FB0137862"/>
    <s v="Padronização dos batentes "/>
    <x v="2"/>
    <s v="Padronizar os batentes das fabrimas 2 e 3 igual os batentes das fabrimas 4 e 5. Pois os batentes da 4 e 5 são mais reforçados e robustos _x000a__x000a_Anexo orçamento"/>
    <s v="Diego T Oliveira"/>
    <s v="Pequena mudança local"/>
    <x v="1"/>
    <x v="445"/>
    <x v="0"/>
    <d v="2026-05-22T13:52:02"/>
    <s v="Fabio A Oliveira"/>
    <s v="APROVADORES DE IDEIAS"/>
    <m/>
    <s v="Resolvido"/>
    <x v="0"/>
    <m/>
  </r>
  <r>
    <s v="FB0137866"/>
    <s v="Instalação de sinal de alerta luminoso "/>
    <x v="0"/>
    <s v="Colocar um sinal de alerta luminoso no portão de saída do café cru para o almoxarifado. Devido ao movimento de empilhadeira e fluxo de pessoas passando pelo mesmo local"/>
    <s v="Diego T Oliveira"/>
    <s v="Pequena mudança local"/>
    <x v="1"/>
    <x v="446"/>
    <x v="8"/>
    <d v="2026-02-10T14:43:26"/>
    <m/>
    <s v="IDEIAS-CAFÉ CRÚ"/>
    <d v="2026-02-10T14:43:26"/>
    <s v="Cancelado"/>
    <x v="0"/>
    <m/>
  </r>
  <r>
    <s v="FB0137868"/>
    <s v="Instalação de sinalização luminosa "/>
    <x v="2"/>
    <s v="Instalação de sinalização luminosa no portão do café cru com sensor no portão igual exemplo sugerido na foto anexada a cima._x000a__x000a_SHE: Aprovado. Deve ser um sinal sonoro audível e luminoso."/>
    <s v="Diego T Oliveira"/>
    <s v="Pequena mudança local"/>
    <x v="1"/>
    <x v="447"/>
    <x v="22"/>
    <d v="2026-07-08T10:28:47"/>
    <s v="Flavia Silveira"/>
    <s v="APROVADORES DE IDEIAS"/>
    <m/>
    <s v="Resolvido"/>
    <x v="0"/>
    <m/>
  </r>
  <r>
    <s v="FB0138029"/>
    <s v="Alterar café da manhã do adm"/>
    <x v="1"/>
    <s v="Alternar um dia do café da manhã especial para pão de queijo e manter  o outro com presunto e queijo como já é."/>
    <s v="Luzia Rodrigues"/>
    <s v="Pequena mudança local"/>
    <x v="4"/>
    <x v="448"/>
    <x v="29"/>
    <d v="2026-02-11T10:37:54"/>
    <s v="Ana Pereira"/>
    <s v="IDEIAS-ADMINISTRATIVO"/>
    <d v="2026-02-11T10:37:54"/>
    <s v="Fechado"/>
    <x v="1"/>
    <m/>
  </r>
  <r>
    <s v="FB0138050"/>
    <s v="fazer estrutura para que não pare pó na parede ao lado da fornalha "/>
    <x v="3"/>
    <s v="fazer estrutura para que não pare pó na parede ao lado da fornalha_x000a__x000a_SHE: Aprovado. Sugestão abrir uma MOC e TAP para entender a melhor solução de engenharia."/>
    <s v="Arthur Silva"/>
    <s v="Pequena mudança local"/>
    <x v="3"/>
    <x v="449"/>
    <x v="22"/>
    <d v="2026-04-09T12:09:43"/>
    <s v="Ruth Ribeiro"/>
    <s v="IDEIAS-SHE"/>
    <m/>
    <s v="Aguardando MOC"/>
    <x v="1"/>
    <m/>
  </r>
  <r>
    <s v="FB0138051"/>
    <s v="fazer um claviculário de segurança com as chaves das escadas marinheiro no alarme de incêndio "/>
    <x v="0"/>
    <s v="Fazer um claviculário de segurança com as chaves das escadas marinheiro no alarme de incêndio._x000a__x000a_SHE: Reprovado claviculário. Desenvolver um sistema de rompimento.  Não pode ser um acesso livre as chaves. Abrir outra idea com o sistema de parecido com o &quot;em caso de emergência quebre aqui&quot;."/>
    <s v="Arthur Silva"/>
    <s v="Pequena mudança local"/>
    <x v="1"/>
    <x v="450"/>
    <x v="22"/>
    <d v="2026-03-17T15:37:41"/>
    <m/>
    <s v="IDEIAS-SHE"/>
    <d v="2026-03-17T15:37:41"/>
    <s v="Cancelado"/>
    <x v="1"/>
    <m/>
  </r>
  <r>
    <s v="FB0138260"/>
    <s v="pressão das correias de arraste "/>
    <x v="3"/>
    <s v="Incluir no CL a verificação da pressão das correias de arraste das fábricas , alguns  problemas na selagem vertical do pacote , está associada a pressão das correias, onde a manutenção tem que fazer a inspeção e realizar ajustes , se estiver dentro do CL diário , fica mais fácil para a operação identificar problemas relacionados a pressão "/>
    <s v="Angela Santos"/>
    <s v="Pequena mudança local"/>
    <x v="2"/>
    <x v="451"/>
    <x v="7"/>
    <d v="2026-04-16T16:02:43"/>
    <s v="Moises Costa"/>
    <s v="APROVADORES DE IDEIAS"/>
    <m/>
    <s v="Aguardando Execução "/>
    <x v="0"/>
    <m/>
  </r>
  <r>
    <s v="FB0138274"/>
    <s v="retirar limpeza não apta dos colaboradores "/>
    <x v="2"/>
    <s v="(LATERAL SILOS DE GRÃO_x000a_LATERAL SILOS DE PÓ )_x000a_Essas limpezas são apenas as pessoas das brazanitas que realizam essa limpeza com espanador de pó ajustado pra tal altura."/>
    <s v="Ruth Fonseca"/>
    <s v="Pequena mudança local"/>
    <x v="2"/>
    <x v="452"/>
    <x v="5"/>
    <d v="2026-06-26T05:40:53"/>
    <s v="Thaissa Oliveira"/>
    <s v="APROVADORES DE IDEIAS"/>
    <m/>
    <s v="Resolvido"/>
    <x v="0"/>
    <m/>
  </r>
  <r>
    <s v="FB0138839"/>
    <s v="Batente para as gaiolas de reciclagem "/>
    <x v="2"/>
    <s v="Batente para evitar as colisões nos alambrados evitando danificações na estrutura _x000a__x000a_SHE: aprovado."/>
    <s v="Fabio S Santos"/>
    <s v="Pequena mudança local"/>
    <x v="1"/>
    <x v="453"/>
    <x v="22"/>
    <d v="2026-05-11T10:50:09"/>
    <m/>
    <s v="IDEIAS-SHE"/>
    <m/>
    <s v="Resolvido"/>
    <x v="0"/>
    <m/>
  </r>
  <r>
    <s v="FB0138873"/>
    <s v="Placas de identificação robôs e Strechadeira "/>
    <x v="3"/>
    <s v="Placas para identificação visual nos robôs Fabrimas 2 e 3, Maq. 4, PKD e Strechadeira para melhor entendimento de visitantes e associados novos_x000a__x000a__x000a_Feito por Fabio Antônio e Carlos Eugênio "/>
    <s v="Carlos E Santos"/>
    <s v="Pequena mudança local"/>
    <x v="0"/>
    <x v="454"/>
    <x v="10"/>
    <d v="2026-05-28T12:11:31"/>
    <s v="Fabio A Oliveira"/>
    <s v="IDEIAS-LOGÍSTICA"/>
    <m/>
    <s v="Aguardando Orçamento"/>
    <x v="0"/>
    <m/>
  </r>
  <r>
    <s v="FB0139173"/>
    <s v="Robôs "/>
    <x v="0"/>
    <s v="Sugiro que para facilitar na limpeza do chão do robô ao executar o CIl mensal que possam fornecer um rodo com esponja fixa para limpar o chão e rodo para limpar o chão "/>
    <s v="Emilly Silva"/>
    <s v="Pequena mudança local"/>
    <x v="0"/>
    <x v="455"/>
    <x v="20"/>
    <d v="2026-05-01T13:05:38"/>
    <m/>
    <s v="IDEIAS-MELHORIA CONTÍNUA"/>
    <d v="2026-05-01T13:05:38"/>
    <s v="Cancelado"/>
    <x v="0"/>
    <m/>
  </r>
  <r>
    <s v="FB0139192"/>
    <s v="Rolete do robô onde fica o acomodador "/>
    <x v="4"/>
    <s v="Por ser local de difícil acesso acaba que também tem fonte de contaminação e fica difícil de limpar, para facilitar a limpeza gostaria que providenciasse uma escova com cabo para facilitar na limpeza "/>
    <s v="Emilly Silva"/>
    <s v="Pequena mudança local"/>
    <x v="0"/>
    <x v="456"/>
    <x v="0"/>
    <d v="2026-07-02T14:18:26"/>
    <m/>
    <s v="APROVADORES DE IDEIAS"/>
    <m/>
    <s v="Rascunho"/>
    <x v="0"/>
    <m/>
  </r>
  <r>
    <s v="FB0139195"/>
    <s v="cabos da esteira"/>
    <x v="0"/>
    <s v="Cabos da esteira sem proteção, podendo colocar proteções._x000a__x000a_SHE: Risco baixo. Custo elevado. Para o momento não é interessante esta ideia. Reprovado."/>
    <s v="Ana Julia Costa Silva"/>
    <s v="Pequena mudança local"/>
    <x v="1"/>
    <x v="457"/>
    <x v="22"/>
    <d v="2026-03-17T15:54:29"/>
    <m/>
    <s v="IDEIAS-SHE"/>
    <d v="2026-03-17T15:54:29"/>
    <s v="Cancelado"/>
    <x v="0"/>
    <m/>
  </r>
  <r>
    <s v="FB0139595"/>
    <s v="alteração não permitida de velocidade "/>
    <x v="0"/>
    <s v="Verificar com a manutenção ou engenharia se seria possível bloquear o parâmetro de aumento velocidade da máquina. Um turno está trabalhando com a máquina em velocidade acima do permitido em todos os dias."/>
    <s v="Ivomar Costa"/>
    <s v="Pequena mudança local"/>
    <x v="2"/>
    <x v="458"/>
    <x v="1"/>
    <d v="2026-03-31T09:16:40"/>
    <m/>
    <s v="IDEIAS-VACUO"/>
    <d v="2026-03-31T09:16:41"/>
    <s v="Cancelado"/>
    <x v="0"/>
    <m/>
  </r>
  <r>
    <s v="FB0139843"/>
    <s v="facilita o acesso aos bojos sem a necessidade de PT"/>
    <x v="3"/>
    <s v="A ideia inicial é melhoria ao acesso dos bojos dos moinhos, 1ao 6_x000a_Nas imagens a cima vemos a dificuldade dos operadores e da manutenção poder ter acesso a escada _x000a_Todas as escadas marinheiras nos moinhos, estão num local que dificulta o trabalho da manutenção e das limpezas fim de mês_x000a_Muitas das vezes o trabalho é a limpeza que é necessário fazer gasta muito tempo por conta da abertura da PT_x000a_Dificulta o trabalho da manutenção ao retirar ou remover peças ou motores com vazamento ou sem funcionamento, pior quando precisa subir com peças _x000a_Muitas atividades nos bojo são falha menores como RP, falha nos micro, válvulas de fechamento, mangueira de ar comprimido com vazamento ou necessário fazer limpeza _x000a_Melhoria ( fazer uma plataforma onde podemos ter o acesso mais Rápido e fácil dos bojos ou fazer uma escada usando a plataforma das roscas de transporte) vimos um local onde poderia ter essa escada assim como outros locais ( com isso fazer a retirada das escadas marinheiras dos moinhos 1ao 6)"/>
    <s v="Alex Teixeira"/>
    <s v="Grande mudança local"/>
    <x v="1"/>
    <x v="459"/>
    <x v="3"/>
    <d v="2026-04-20T18:19:27"/>
    <m/>
    <s v="IDEIAS-PROCESSOS"/>
    <m/>
    <s v="Aguardando Aprovação de CAPEX"/>
    <x v="0"/>
    <m/>
  </r>
  <r>
    <s v="FB0140119"/>
    <s v="Feedback"/>
    <x v="0"/>
    <s v="As baterias são seladas e liberadas para estarem em locais fechados"/>
    <s v="Ruth Ribeiro"/>
    <s v="Pequena mudança local"/>
    <x v="1"/>
    <x v="460"/>
    <x v="20"/>
    <d v="2026-06-29T11:30:06"/>
    <m/>
    <s v="APROVADORES DE IDEIAS"/>
    <d v="2026-06-29T11:30:06"/>
    <s v="Cancelado"/>
    <x v="1"/>
    <m/>
  </r>
  <r>
    <s v="FB0140133"/>
    <s v="quadro de  lototo para os elevadores "/>
    <x v="3"/>
    <s v="Um quadro de bloqueio para os elevadores da moagem ,facilitando o trabalho da manutençãoe dos operadores "/>
    <s v="Luiz H Silva"/>
    <s v="Pequena mudança local"/>
    <x v="1"/>
    <x v="461"/>
    <x v="22"/>
    <d v="2026-03-06T10:59:53"/>
    <s v="Guilherme Oliveira"/>
    <s v="IDEIAS-SHE"/>
    <m/>
    <s v="Aguardando Execução "/>
    <x v="0"/>
    <m/>
  </r>
  <r>
    <s v="FB0140292"/>
    <s v="velocidade correia Fab 5"/>
    <x v="2"/>
    <s v="Velocidade da correia foi alterado estava 55% e foi para 52%._x000a_Manutentor alterou parâmetro para melhor desempenho. Ajustar range entre 50% e 55%_x000a_"/>
    <s v="Sara Lobato"/>
    <s v="Pequena mudança local"/>
    <x v="2"/>
    <x v="462"/>
    <x v="7"/>
    <d v="2026-04-16T15:53:06"/>
    <m/>
    <s v="APROVADORES DE IDEIAS"/>
    <m/>
    <s v="Resolvido"/>
    <x v="0"/>
    <m/>
  </r>
  <r>
    <s v="FB0140345"/>
    <s v="carrinho gaiola menor"/>
    <x v="0"/>
    <s v="Carrinho gaiola,para colocar caixa de papelão usada para start dos torradores "/>
    <s v="Fabricio Brant"/>
    <s v="Pequena mudança local"/>
    <x v="2"/>
    <x v="463"/>
    <x v="1"/>
    <d v="2026-03-16T15:13:41"/>
    <m/>
    <s v="IDEIAS-VACUO"/>
    <d v="2026-03-16T15:13:41"/>
    <s v="Cancelado"/>
    <x v="0"/>
    <m/>
  </r>
  <r>
    <s v="FB0140646"/>
    <s v="Instalação de televisão no container "/>
    <x v="2"/>
    <s v="Instalação da televisão que se encontra sem uso no ADM para o container de manufatura, especificamente encima do armario de MDF "/>
    <s v="Valeria Yanez"/>
    <s v="Pequena mudança local"/>
    <x v="4"/>
    <x v="464"/>
    <x v="16"/>
    <d v="2026-07-06T10:25:50"/>
    <m/>
    <s v="APROVADORES DE IDEIAS"/>
    <m/>
    <s v="Resolvido"/>
    <x v="1"/>
    <m/>
  </r>
  <r>
    <s v="FB0140765"/>
    <s v="colocar uma tomada"/>
    <x v="2"/>
    <s v="Colocar tomada próximo ao Nederman "/>
    <s v="Fabricio Brant"/>
    <s v="Pequena mudança local"/>
    <x v="6"/>
    <x v="465"/>
    <x v="1"/>
    <d v="2026-04-02T11:30:40"/>
    <m/>
    <s v="IDEIAS-VACUO"/>
    <m/>
    <s v="Resolvido"/>
    <x v="0"/>
    <m/>
  </r>
  <r>
    <s v="FB0140775"/>
    <s v="Esteira 9 Fardos "/>
    <x v="0"/>
    <s v="Esteira 9 transportes de fardos ao passar fardo, no sensor da etiquetadora a esteira não para e fica saindo muitas etiquetas e cai no chão, mesmo mudando a posição do sensor da etiqueta, a minha sugestão é colocar um sensor no começo da esteira para a esteira parar e não ficar no rumo do sensor da etiquetadora"/>
    <s v="Emilly Silva"/>
    <s v="Pequena mudança local"/>
    <x v="2"/>
    <x v="466"/>
    <x v="20"/>
    <d v="2026-05-11T11:56:39"/>
    <m/>
    <s v="IDEIAS-MELHORIA CONTÍNUA"/>
    <d v="2026-05-11T11:56:39"/>
    <s v="Cancelado"/>
    <x v="0"/>
    <m/>
  </r>
  <r>
    <s v="FB0140902"/>
    <s v="lubrificação da válvula do testador de vácuo"/>
    <x v="0"/>
    <s v="Fazer lubrificação mensal na válvula do testador de vácuo"/>
    <s v="Fabricio Brant"/>
    <s v="Pequena mudança local"/>
    <x v="2"/>
    <x v="467"/>
    <x v="1"/>
    <d v="2026-03-13T16:54:51"/>
    <m/>
    <s v="IDEIAS-VACUO"/>
    <d v="2026-03-13T16:54:51"/>
    <s v="Cancelado"/>
    <x v="0"/>
    <m/>
  </r>
  <r>
    <s v="FB0141630"/>
    <s v="Padronização das conexões e mangueiras de todos os moinhos "/>
    <x v="2"/>
    <s v="Padronização das conexões e mangueiras de todos os moinhos _x000a_Será necessario a compra de conexões rosca 3/8, com entrada para mangueira 3/8, Ao todo serão 150 conexões, 50 metros de mangueira 3/8 para agua._x000a_Programar um mecânico 1 turno para realização da troca _x000a_"/>
    <s v="Arthur Silva"/>
    <s v="Pequena mudança local"/>
    <x v="8"/>
    <x v="468"/>
    <x v="3"/>
    <d v="2026-07-03T09:44:19"/>
    <m/>
    <s v="APROVADORES DE IDEIAS"/>
    <m/>
    <s v="Resolvido"/>
    <x v="1"/>
    <m/>
  </r>
  <r>
    <s v="FB0142655"/>
    <s v="Leite no café da tarde"/>
    <x v="2"/>
    <s v="Ideia do Ednaldo: Ter a opção de leite também no café da tarde, ao invés de ter somente a opção de suco."/>
    <s v="Michelle Faria"/>
    <s v="Pequena mudança local"/>
    <x v="0"/>
    <x v="469"/>
    <x v="29"/>
    <d v="2026-03-23T11:40:53"/>
    <s v="Ana Pereira"/>
    <s v="IDEIAS-ADMINISTRATIVO"/>
    <m/>
    <s v="Resolvido"/>
    <x v="1"/>
    <m/>
  </r>
  <r>
    <s v="FB0142828"/>
    <s v="CABIDE PARA ROUPAS"/>
    <x v="2"/>
    <s v="Instalar cabides para roupas, dentro do box. Não tem onde pendurar a roupa suja e a toalha. "/>
    <s v="Aline Fernandes"/>
    <s v="Pequena mudança local"/>
    <x v="0"/>
    <x v="470"/>
    <x v="16"/>
    <d v="2026-07-29T15:47:33"/>
    <s v="Ana Pereira"/>
    <s v="APROVADORES DE IDEIAS"/>
    <m/>
    <s v="Resolvido"/>
    <x v="1"/>
    <m/>
  </r>
  <r>
    <s v="FB0142829"/>
    <s v="TAPETE ANTIDERRAPANTE"/>
    <x v="3"/>
    <s v="Verificar possibilidade de adquirir um tapete antiderrapante para a área dos chuveiros. O tapete atual é de plástico e quando molha o chão ele fica extremamete escorregadio. "/>
    <s v="Aline Fernandes"/>
    <s v="Pequena mudança local"/>
    <x v="0"/>
    <x v="471"/>
    <x v="16"/>
    <d v="2026-03-23T12:44:19"/>
    <s v="Ana Pereira"/>
    <s v="IDEIAS-ADMINISTRATIVO"/>
    <m/>
    <s v="Aguardando Orçamento"/>
    <x v="1"/>
    <m/>
  </r>
  <r>
    <s v="FB0143304"/>
    <s v="Solicitação de isenção da taxa de lixo junto à prefeitura, considerando que a empresa realiza descarte de resíduos por empresa especializada."/>
    <x v="2"/>
    <s v="*Ideia da Jéssica Begalli - Segurpro*_x000a_Atualmente, a unidade realiza o gerenciamento completo de seus resíduos por meio de empresa especializada, não utilizando o serviço público de coleta de lixo nem encaminhando resíduos para aterro sanitário municipal._x000a_Diante disso, sugere-se iniciar tratativas com a prefeitura de Piumhi para solicitar a isenção da taxa de lixo cobrada na conta de água, apresentando documentação comprobatória do correto descarte ambiental._x000a_A ação está alinhada com práticas de sustentabilidade e gestão eficiente de custos, além de evitar pagamento indevido por um serviço não utilizado."/>
    <s v="Ana Pereira"/>
    <s v="Pequena mudança local"/>
    <x v="4"/>
    <x v="472"/>
    <x v="16"/>
    <d v="2026-07-02T14:19:56"/>
    <s v="Samuel Camargos"/>
    <s v="APROVADORES DE IDEIAS"/>
    <m/>
    <s v="Resolvido"/>
    <x v="1"/>
    <m/>
  </r>
  <r>
    <s v="FB0143318"/>
    <s v="colocar botão de emergência "/>
    <x v="3"/>
    <s v="Falta um botão de emergência caso necessite em alguma emergência. Único meio de parar a esteira é nos botões de emergência da encaixotadora que fica a mais de 3 metros da esteira"/>
    <s v="Ivomar Costa"/>
    <s v="Pequena mudança local"/>
    <x v="1"/>
    <x v="473"/>
    <x v="22"/>
    <d v="2026-05-07T09:00:45"/>
    <s v="Guilherme Oliveira"/>
    <s v="IDEIAS-SHE"/>
    <m/>
    <s v="Aguardando Aprovação de CAPEX"/>
    <x v="0"/>
    <m/>
  </r>
  <r>
    <s v="FB0143447"/>
    <s v="Mudança da posição da malha da peneira "/>
    <x v="3"/>
    <s v="Hoje as abas da peneira vibratória estão na horizontal, isso faz com que acumule café nas laterais, duas vezes por semana é feita a limpeza e todo acumulo de café vai para o descarte. Minha proposta é colocar as abas verticais ou o máximo possível  para durante o processo não acumular tanto café e ao abrir para realizar a limpeza reduzir o descarte. _x000a__x000a_DICA: ADIÇÃO DA CHAPA MÓVEL PARA FACILITAR LIMPEZA E EVITAR O DESCARTE DE CAFÉ, SERÁ ANEXADO UMA IMAGEM PARA FACILITAR A COMPREEÇÃO."/>
    <s v="Ruth Ribeiro"/>
    <s v="Pequena mudança local"/>
    <x v="2"/>
    <x v="474"/>
    <x v="0"/>
    <d v="2026-06-30T11:57:24"/>
    <s v="Anderson Santana"/>
    <s v="APROVADORES DE IDEIAS"/>
    <m/>
    <s v="Aguardando Aprovação de CAPEX"/>
    <x v="1"/>
    <s v="                                     "/>
  </r>
  <r>
    <s v="FB0143448"/>
    <s v="Reprocesso do café das peneiras rotativas"/>
    <x v="4"/>
    <s v="Atualmente os carrinhos de rejeito da peneira rotativa são de aço carbono. A ideia é tornar os carrinhos de aço inox e reprocessa-los. _x000a_Em JDI este café já é reprocessado. "/>
    <s v="Ruth Ribeiro"/>
    <s v="Pequena mudança local"/>
    <x v="7"/>
    <x v="475"/>
    <x v="3"/>
    <d v="2026-07-02T14:20:47"/>
    <m/>
    <s v="APROVADORES DE IDEIAS"/>
    <m/>
    <s v="Rascunho"/>
    <x v="1"/>
    <m/>
  </r>
  <r>
    <s v="FB0143722"/>
    <s v="pontos para ancoragem ( distribuidores 1-2e3 )"/>
    <x v="3"/>
    <s v="Ao realizar limpeza , tem uma dificuldade para fazer a ancoragem do talabarte , utilizando pontos não apropriados, usando um ferro q prende os distribuidores, podendo vir a danificar , sendo que os bojos dos distribuidores, são acima das grades de proteções, a ideia seria colocar alças ou barras de ferro onde fica seguro e acessível para fazer essa ancoragem _x000a_She irá realizar o orçamento com estimativa de R$20.000"/>
    <s v="Angela Santos"/>
    <s v="Pequena mudança local"/>
    <x v="1"/>
    <x v="476"/>
    <x v="36"/>
    <d v="2026-05-08T10:45:15"/>
    <s v="Guilherme Oliveira"/>
    <s v="IDEIAS-PROCESSOS"/>
    <m/>
    <s v="Aguardando Aprovação de CAPEX"/>
    <x v="0"/>
    <m/>
  </r>
  <r>
    <s v="FB0143738"/>
    <s v="acompanhamento das preventivas das fabrimas  "/>
    <x v="3"/>
    <s v="O time fica  sem informação das ações feitas ou aplicadas nas fabrimas na atividade da manutenção preventiva, ficaria mais claro se tivesse na linha ou no contêiner as ordens desse serviço , para o time operacional ficar mais informado sobre as ações e melhorias aplicadas "/>
    <s v="Angela Santos"/>
    <s v="Pequena mudança local"/>
    <x v="2"/>
    <x v="477"/>
    <x v="7"/>
    <d v="2026-04-30T16:07:46"/>
    <s v="Anderson Santana"/>
    <s v="APROVADORES DE IDEIAS"/>
    <m/>
    <s v="Aguardando Execução "/>
    <x v="0"/>
    <m/>
  </r>
  <r>
    <s v="FB0143894"/>
    <s v="Smart Cablevey"/>
    <x v="3"/>
    <s v="Deixar o próprio cablevey se auto ajustar quanto a capacidade de acordo com a corrente de trabalho._x000a_Será utilizado um servo com feedback para realizar a melhoria, fazendo o ajuste de corrente do motor de acordo com a vazão_x000a__x000a_0 Quebras_x000a_Tempo de máquina rodando maior_x000a_Melhorar o GE_x000a__x000a_Custo estimado de 15-20 mil por cablevey._x000a_Foco inicial 2.1 e 2.2_x000a__x000a__x000a_Integrantes:_x000a_Igor Sousa_x000a_Fabio Coelho_x000a_André Costa"/>
    <s v="Andre Mendes Costa"/>
    <s v="Pequena mudança local"/>
    <x v="4"/>
    <x v="478"/>
    <x v="37"/>
    <d v="2026-04-20T18:06:01"/>
    <s v="Andre Mendes Costa"/>
    <s v="IDEIAS-PROCESSOS"/>
    <m/>
    <s v="Aguardando Aprovação de CAPEX"/>
    <x v="1"/>
    <m/>
  </r>
  <r>
    <s v="FB0144237"/>
    <s v="PPRO digital."/>
    <x v="3"/>
    <s v="Passar para o digital facilitando as informações."/>
    <s v="Ana Julia Costa Silva"/>
    <s v="Pequena mudança local"/>
    <x v="3"/>
    <x v="479"/>
    <x v="19"/>
    <d v="2026-04-20T18:27:36"/>
    <s v="Alice Morais"/>
    <s v="APROVADORES DE IDEIAS"/>
    <m/>
    <s v="Aguardando Execução "/>
    <x v="0"/>
    <m/>
  </r>
  <r>
    <s v="FB0144238"/>
    <s v="tendência com senha "/>
    <x v="0"/>
    <s v="Colocar senha no parâmetro de tendência para evitarem de fazer alterações."/>
    <s v="Ana Julia Costa Silva"/>
    <s v="Pequena mudança local"/>
    <x v="6"/>
    <x v="480"/>
    <x v="19"/>
    <d v="2026-05-11T11:59:10"/>
    <m/>
    <s v="APROVADORES DE IDEIAS"/>
    <d v="2026-05-11T11:59:10"/>
    <s v="Cancelado"/>
    <x v="0"/>
    <m/>
  </r>
  <r>
    <s v="FB0144885"/>
    <s v="Melhoria na caida da pelicula "/>
    <x v="3"/>
    <s v="Pessoas envolvidas: Arthur, Lucas Obrien, Lucas Carvalho, Jader Costa_x000a_Sera necessario avaliação do Tiago Carvalho em loco para validação da ideia._x000a_Será feito uma mudança no bocal de saida da pelicula na rosca de pelicula dos torradores._x000a_Inicialmente a ideia e diminuir o bocal e fazer uma nova grade para que não haja risco de obstrução da rosca por esquecimento de troca da caçamba._x000a_A confecção sera feita internamente, com custos minimos de tempo de manutenção._x000a_ "/>
    <s v="Arthur Silva"/>
    <s v="Pequena mudança local"/>
    <x v="4"/>
    <x v="481"/>
    <x v="22"/>
    <d v="2026-05-08T14:11:09"/>
    <s v="Jhonnathan Pereira"/>
    <s v="IDEIAS-SHE"/>
    <m/>
    <s v="Aguardando Validação"/>
    <x v="1"/>
    <m/>
  </r>
  <r>
    <s v="FB0144987"/>
    <s v="melhoria para o MOP"/>
    <x v="2"/>
    <s v="Incluir opção pra digitação pra busca, facilitando justificar as paradas mais rápido "/>
    <s v="Ruth Fonseca"/>
    <s v="Pequena mudança local"/>
    <x v="2"/>
    <x v="482"/>
    <x v="0"/>
    <d v="2026-06-09T15:06:21"/>
    <s v="Relton Moraes"/>
    <s v="APROVADORES DE IDEIAS"/>
    <m/>
    <s v="Resolvido"/>
    <x v="0"/>
    <m/>
  </r>
  <r>
    <s v="FB0145106"/>
    <s v="Programa de Aceleração de Performance e Liderança Estratégica "/>
    <x v="4"/>
    <s v="Implementar um programa de mentoria e desenvolvimento para analistas e assistentes focado em competências críticas para o próximo nível de crescimento da empresa. O programa abrange:_x000a__x000a_Eficiência Operacional: Gestão de tempo, produtividade e simplificação de processos._x000a__x000a_Inteligência Comportamental: Gestão emocional, resiliência e comunicação assertiva._x000a__x000a_Alinhamento Estratégico: Visão ampla do negócio, conectando a execução diária à estratégia macro da companhia._x000a__x000a_Qual problema essa ideia resolve?_x000a_O programa visa reduzir o &quot;ruído&quot; e o retrabalho causados por falhas de comunicação e processos complexos. Combate o esgotamento através da gestão emocional, transformando colaboradores operacionais em profissionais com visão de dono e foco em resultados estratégicos. "/>
    <s v="Ruth Ribeiro"/>
    <s v="Grande mudança local"/>
    <x v="0"/>
    <x v="483"/>
    <x v="16"/>
    <d v="2026-07-02T14:21:20"/>
    <m/>
    <s v="APROVADORES DE IDEIAS"/>
    <m/>
    <s v="Rascunho"/>
    <x v="1"/>
    <m/>
  </r>
  <r>
    <s v="FB0145184"/>
    <s v="Vídeo informativo preenchimento de formulário "/>
    <x v="2"/>
    <s v="Minha idade para melhores informações , sobre o preenchimento de formulário . Fazer _x000a_Vídeo informativo para , o melhor preenchimento de formulário. Isso ajudaria os operadores  novos na linha._x000a_ fazendo isso teremos maio aproveito das informações . _x000a_aprendizado mas rápido  ,pois  o operador pode assistir e estuda o vídeo na dúvida . "/>
    <s v="Abner Paiva"/>
    <s v="Pequena mudança local"/>
    <x v="4"/>
    <x v="484"/>
    <x v="0"/>
    <d v="2026-06-09T15:07:02"/>
    <s v="Valeria Yanez"/>
    <s v="APROVADORES DE IDEIAS"/>
    <m/>
    <s v="Resolvido"/>
    <x v="0"/>
    <m/>
  </r>
  <r>
    <s v="FB0145185"/>
    <s v="adicionar uma ferramenta para medir a quantidade da cola "/>
    <x v="3"/>
    <s v="Adicionar uma ferramenta que facilita a medição da quantidade da cola._x000a__x000a_Pode ser um pouco maior ou até as marcas necessárias da quantidade de cola. _x000a__x000a_A foto do desenho é ilustrativa não tenho o tamanho exato._x000a__x000a_Quando um lado encostar na cola o outro vai mostrar a quantidade "/>
    <s v="Ilbert Caetano"/>
    <s v="Pequena mudança local"/>
    <x v="2"/>
    <x v="485"/>
    <x v="0"/>
    <d v="2026-04-20T18:10:02"/>
    <s v="Valeria Yanez"/>
    <s v="APROVADORES DE IDEIAS"/>
    <m/>
    <s v="Aguardando Validação"/>
    <x v="0"/>
    <m/>
  </r>
  <r>
    <s v="FB0145309"/>
    <s v="Moegas de reprocesso torradores 1 e 2"/>
    <x v="3"/>
    <s v="Moegas proliferando mofos por ficarem muito tempo fechadas!_x000a_Ideia de fazer telas iguais as moegas de reprocesso dos moinhos 1 e 5_x000a_Assim podemos manter abertas e não criar mais mofos."/>
    <s v="Lucas Vaz"/>
    <s v="Pequena mudança local"/>
    <x v="3"/>
    <x v="486"/>
    <x v="11"/>
    <d v="2026-06-16T19:18:44"/>
    <s v="Moises Costa"/>
    <s v="IDEIAS-PROCESSOS"/>
    <m/>
    <s v="Aguardando Orçamento"/>
    <x v="0"/>
    <m/>
  </r>
  <r>
    <s v="FB0145581"/>
    <s v="ESPELHO NA BARREIRA"/>
    <x v="3"/>
    <s v="Verificar a possibilidade de instalar outro espelho na barreira sanitária principal, conforme era antes da reforma. Em dias de DDSHEQ, o espelho atual, por ser pequeno, não atende à demanda, pois são muitas pessoas precisando utilizá-lo ao mesmo tempo, causando demora na entrada para a produção."/>
    <s v="Aline Fernandes"/>
    <s v="Pequena mudança local"/>
    <x v="4"/>
    <x v="487"/>
    <x v="16"/>
    <d v="2026-09-17T14:08:22"/>
    <s v="Jhonnathan Pereira"/>
    <s v="APROVADORES DE IDEIAS"/>
    <m/>
    <s v="Aguardando Orçamento"/>
    <x v="1"/>
    <m/>
  </r>
  <r>
    <s v="FB0145947"/>
    <s v="correia de arraste do filme PKD "/>
    <x v="0"/>
    <s v="Troca (adaptação ) da correia de tração do filme por corrente de comando."/>
    <s v="Ivomar Costa"/>
    <s v="Pequena mudança local"/>
    <x v="4"/>
    <x v="488"/>
    <x v="1"/>
    <d v="2026-05-04T10:49:20"/>
    <m/>
    <s v="IDEIAS-VACUO"/>
    <d v="2026-05-04T10:49:20"/>
    <s v="Cancelado"/>
    <x v="0"/>
    <m/>
  </r>
  <r>
    <s v="FB0146643"/>
    <s v="lógica da esteira alpino "/>
    <x v="0"/>
    <s v="Avaliar possibilidade de mudança na comunicação dos sensores do alpino com a encaixotadora para quando tiver pacote virado no twister  não aja acúmulo nas esteiras alpino ._x000a__x000a_IDEIA : Patrick Pessoa e Wesley Junior _x000a_ASSUNTO DISCUTIDO: Moisés Costa e Giovana Biffarate"/>
    <s v="Patrick Pessoa"/>
    <s v="Pequena mudança local"/>
    <x v="2"/>
    <x v="489"/>
    <x v="1"/>
    <d v="2026-06-01T10:23:18"/>
    <m/>
    <s v="IDEIAS-VACUO"/>
    <d v="2026-06-01T10:23:18"/>
    <s v="Cancelado"/>
    <x v="0"/>
    <m/>
  </r>
  <r>
    <s v="FB0146658"/>
    <s v="Ferramenta para remoção de embalagens derretidas dos mordentes"/>
    <x v="3"/>
    <s v="Ideia para uma ferramenta para remoção de embalagens derretidas, possivelmente uma espátula um pouco mais espessa para que não se entorte._x000a__x000a_A referência seria uma parte de uma tesoura (abre a tesoura em dois pedaços e usa uma parte só). "/>
    <s v="Isaias Macedo"/>
    <s v="Pequena mudança local"/>
    <x v="4"/>
    <x v="490"/>
    <x v="5"/>
    <d v="2026-05-27T07:57:24"/>
    <s v="Moises Costa"/>
    <s v="APROVADORES DE IDEIAS"/>
    <m/>
    <s v="Aguardando Execução "/>
    <x v="0"/>
    <m/>
  </r>
  <r>
    <s v="FB0146863"/>
    <s v="Implementação de uma mesa móvel com rodas para auxiliar a formação e apoio de fardos durante paradas operacionais do robô."/>
    <x v="2"/>
    <s v="Propõe-se a adição de uma mesa com rodas, de fácil movimentação e posicionamento, a ser utilizada como apoio na realização de fardos quando ocorrerem paradas do robô. A mesa permitirá melhor ergonomia aos operadores, maior estabilidade dos fardos durante o processo manual e maior agilidade na retomada da operação."/>
    <s v="Valeria Yanez"/>
    <s v="Pequena mudança local"/>
    <x v="0"/>
    <x v="491"/>
    <x v="0"/>
    <d v="2026-06-09T15:13:53"/>
    <m/>
    <s v="APROVADORES DE IDEIAS"/>
    <m/>
    <s v="Resolvido"/>
    <x v="1"/>
    <m/>
  </r>
  <r>
    <s v="FB0147430"/>
    <s v="Indicador luminoso"/>
    <x v="0"/>
    <s v="Instalar um pequeno painel com luzes vermelho e verde, para que quando o operador finalizar a rotina de centerline ele aperta o botão verde ou vermelho, assim toda a fábrica terá visibilidade como estamos com o gerenciamento da ferramenta, caso esteja com a luz vermelha acionado, ja temos que ter o plano de ação para tão logo podermos voltar na condição ideal e trabalhar com a Luz verde acionado."/>
    <s v="Eliezer Silva"/>
    <s v="Pequena mudança local"/>
    <x v="4"/>
    <x v="492"/>
    <x v="20"/>
    <d v="2026-04-30T16:13:00"/>
    <m/>
    <s v="IDEIAS-MELHORIA CONTÍNUA"/>
    <d v="2026-04-30T16:13:00"/>
    <s v="Cancelado"/>
    <x v="1"/>
    <m/>
  </r>
  <r>
    <s v="FB0147590"/>
    <s v="Datador em alto desempenho "/>
    <x v="3"/>
    <s v="O atual codificador das fabrimas possui uma função de melhoria que faz a leitura automática da codificação. Essa função de impressão tem uma das finalidades de detectar falha na codificação, garantindo segurança do produto, podendo evitar novos incidentes na codificação. A ideia seria implementar esse sistema do codificador (SmartDate x45) para assegurar maior assertividade do que está sendo inserido no pacote (se tem falha, erro de números, borrado ...)"/>
    <s v="Angela Santos"/>
    <s v="Pequena mudança local"/>
    <x v="3"/>
    <x v="493"/>
    <x v="7"/>
    <d v="2026-09-17T14:05:23"/>
    <s v="Caio Ferreira"/>
    <s v="APROVADORES DE IDEIAS"/>
    <m/>
    <s v="Aguardando Orçamento"/>
    <x v="0"/>
    <m/>
  </r>
  <r>
    <s v="FB0147886"/>
    <s v="colocar uma tomada nesse local "/>
    <x v="2"/>
    <s v="Fio solto no chão _x000a_Manutenção: Ideia já está no radar da Manutenção aguardando uma brecha para dar inicio a execução"/>
    <s v="Luiz H Silva"/>
    <s v="Pequena mudança local"/>
    <x v="0"/>
    <x v="494"/>
    <x v="3"/>
    <d v="2026-08-03T10:21:41"/>
    <s v="Ana Martins"/>
    <s v="APROVADORES DE IDEIAS"/>
    <m/>
    <s v="Resolvido"/>
    <x v="0"/>
    <m/>
  </r>
  <r>
    <s v="FB0147934"/>
    <s v="Melhoria no fluxo de aprovação de químicos"/>
    <x v="0"/>
    <s v="Atualmente, o fluxo de aprovação, além de ser meio lento em alguns processos, gera retrabalho quando uma área reprova por uma simples divergência, como, por exemplo, a descrição geral de uso do produto, enquanto o setor solicita o uso específico do mesmo._x000a__x000a_SHE: Para o processo de produtos químicos realmente não tem um prazo definido pois temos várias áreas que devem analisar e aprovar o produto, sugiro se programarem com antecedência para cadastro de um novo produto para que não tenha impacto na programação do requisitante. Acredito de quando se refere ao retrabalho geralmente está atribuído a algum risco de saúde, segurança ou qualidade que inviabiliza o uso do produto. Inflamabilidade, potencial carcinogênico, contaminação do produto não pode ser consideradas “simples divergências”. Quando perguntamos qual a “finalidade do produto” isso quer dizer qual o uso específico do produto, não podemos trabalhar com com um produto inflamável em um ambiente com alta temperatura, principalmente se estiver acima do ponto de fulgor._x000a__x000a_Com essa reprovação, todo o fluxo que já havia sido feito anteriormente é perdido, sendo necessário preencher novamente os dados e enviá-los para aprovação de cada setor, mesmo que já tenham sido aprovados anteriormente._x000a__x000a_SHE: São 4 áreas que fazem a análise, se não atende ao requisito de 1 área somente o documento torna-se invalido. Deve preencher novamente pois no caso de reprovação com sugestões de alteração, será um novo documento a ser avaliado, por isso deve-se requisitar a avaliação do novo documento. Além de em caso de auditoria não terá rastreabilidade. Mesmo que qualidade, meio ambiente e segurança aprovarem, se tiver alguma não conformidade o produto não entra. Ou atente 100% das áreas ou o produto não entra._x000a__x000a_Além disso, o envio de documentos como FDS, FDT e certificado da NSF não possui campos específicos para todos dentro do formulário, havendo apenas o campo para envio da FDS._x000a__x000a_SHE: De fato, não tem o campo pois precisamos somente da FDS. Este procedimento foi elaborado no passado pelas 4 áreas e entendemos que hoje necessitamos somente de FDS. Se tem alguma área pedindo mais informações pode ser que talvez o uso ou as informações do requerimento não estejam claras. Para Meio Ambiente, Segurança e Saúde precisamos somente o que está na FDS, se não tem não FDS geralmente reprovamos e sugerimos que entre em contato com o fornecedor e complete as informações. Em casos extremos sugerimos a seleção de outros produto._x000a__x000a_IDEIA:_x000a_Melhoria no fluxo do processo: se uma área já aprovou, não é necessário passar por ela novamente para aprovação, visto que o motivo da reprovação foi algo simples._x000a__x000a_SHE: Não podemos alterar desta forma, conforme expliquei acima tem que atender as 4 áreas, caso contrário o documento não é válido._x000a__x000a_Permitir a edição do formulário enviado anteriormente, de modo que não seja necessário preencher todo o formulário novamente, mas apenas editar o que gerou a reprovação, mantendo o fluxo já existente no processo._x000a__x000a_SHE: A possibilidade de editar um formulário já enviado compromete a rastreabilidade das reprovações ocorridas, além de permitir alterações livres nas informações originalmente registradas. Isso acaba por retirar a confiabilidade e a credibilidade de todo o processo de rastreabilidade e controle das aprovações._x000a_"/>
    <s v="Matheus Rodrigues"/>
    <s v="Pequena mudança local"/>
    <x v="1"/>
    <x v="495"/>
    <x v="22"/>
    <d v="2026-04-30T13:57:37"/>
    <m/>
    <s v="IDEIAS-SHE"/>
    <d v="2026-04-30T13:57:37"/>
    <s v="Cancelado"/>
    <x v="1"/>
    <m/>
  </r>
  <r>
    <s v="FB0148572"/>
    <s v="Suporte para peça de ajuda na limpeza das peneiras "/>
    <x v="3"/>
    <s v="Existe uma peça que atualmente fica no container utilizado para a limpeza das peneiras. Essa peça necessita de um suporte adequado para permanecer na área de uso, evitando o risco de queda e garantindo a padronização conforme os princípios do 5S"/>
    <s v="Valeria Yanez"/>
    <s v="Pequena mudança local"/>
    <x v="0"/>
    <x v="496"/>
    <x v="0"/>
    <d v="2026-05-07T09:07:28"/>
    <m/>
    <s v="APROVADORES DE IDEIAS"/>
    <m/>
    <s v="Aguardando Execução "/>
    <x v="1"/>
    <m/>
  </r>
  <r>
    <s v="FB0149012"/>
    <s v="Compra de mais um exaustor para trabalhos em espaço confinado"/>
    <x v="4"/>
    <s v="Compra de mais um exaustor para trabalhos em espaço confinado (em alguns trabalhos necessitamos de um exaustor e um insulflador para retirada dos gases do espaço, hj usamos o ventilador grande porem ele é muito forte e joga muita particula de poeira, atrapalhando algumas vezes o trabalho,) a ideia consite em comprar mais um do mesmo exaustor que temos para fazermos a utilização dele como insulflador"/>
    <s v="Arthur Silva"/>
    <s v="Pequena mudança local"/>
    <x v="2"/>
    <x v="497"/>
    <x v="11"/>
    <d v="2026-07-03T11:43:53"/>
    <m/>
    <s v="APROVADORES DE IDEIAS"/>
    <m/>
    <s v="Rascunho"/>
    <x v="1"/>
    <m/>
  </r>
  <r>
    <s v="FB0149016"/>
    <s v="Troca e padronização das valvulas dos inclinometros do sistema do cablevey"/>
    <x v="4"/>
    <s v="Troca e padronização das valvulas dos inclinometros do sistema do cablevey (hoje temos varios problemas de valvulas travando e dando passagem de ar nos inclinometros, porem a valvula original foi descontinuada e não temos em estoque, a ideia consiste em fazer o mapeamento da quantidade de valvulas e conexões para que sejam compradas e trocadas) as valvulas devem ser de uma marca que conseguimos comprar com mais facilidade Ex: Festo ou SMC."/>
    <s v="Arthur Silva"/>
    <s v="Pequena mudança local"/>
    <x v="2"/>
    <x v="498"/>
    <x v="37"/>
    <d v="2026-06-30T14:26:35"/>
    <m/>
    <s v="APROVADORES DE IDEIAS"/>
    <m/>
    <s v="Rascunho"/>
    <x v="1"/>
    <m/>
  </r>
  <r>
    <s v="FB0149024"/>
    <s v="Adicionar leite zero lactose nas opções para refeitorio "/>
    <x v="2"/>
    <s v="Adicionar a opção de leite zero lactose no refeitório, visando atender colaboradores com intolerância à lactose ou que optem por esse tipo de produto. A iniciativa promove inclusão alimentar, maior bem-estar e diversidade nas opções oferecidas, demonstrando cuidado com a saúde e as necessidades individuais dos usuários do refeitório."/>
    <s v="Valeria Yanez"/>
    <s v="Pequena mudança local"/>
    <x v="0"/>
    <x v="499"/>
    <x v="16"/>
    <d v="2026-07-03T11:13:05"/>
    <m/>
    <s v="APROVADORES DE IDEIAS"/>
    <m/>
    <s v="Resolvido"/>
    <x v="1"/>
    <m/>
  </r>
  <r>
    <s v="FB0149187"/>
    <s v="codificador de pacote da  PKD "/>
    <x v="0"/>
    <s v="Toda vez que dá queda de energia o codificador desliga . Talvez o operador esquece de ligar ele no momento que se reinicia a máquina, daí passa vários pacotes sem codificação gerando retrabalho "/>
    <s v="Romilda Cunha"/>
    <s v="Pequena mudança local"/>
    <x v="3"/>
    <x v="500"/>
    <x v="20"/>
    <d v="2026-05-07T21:51:13"/>
    <s v="Angelina Destefani"/>
    <s v="IDEIAS-MELHORIA CONTÍNUA"/>
    <d v="2026-05-07T21:51:13"/>
    <s v="Cancelado"/>
    <x v="0"/>
    <m/>
  </r>
  <r>
    <s v="FB0149202"/>
    <s v="codificador laser da PKD toda vez que acontece queda de energia ele não liga automático."/>
    <x v="2"/>
    <s v="O codificador de pacotes da PKD toda vez que da uma queda de energia, ele  não liga automático. As vezes o operador, esquece de  ligar ele novamente então passa pacotes sem data . Gerando retrabalho e custo de embalagem. A minha sugestão é a seguinte colocar um sensor nele para que ele mande mensagem na máquina e assim a máquina não liga enquanto não retirar a falha. _x000a__x000a_Manutenção: &quot; Foi comprado o Nobreak, aguardando uma brecha para realiza instalação&quot;"/>
    <s v="Romilda Cunha"/>
    <s v="Pequena mudança local"/>
    <x v="3"/>
    <x v="501"/>
    <x v="0"/>
    <d v="2026-07-06T14:23:47"/>
    <s v="Anderson Santana"/>
    <s v="APROVADORES DE IDEIAS"/>
    <m/>
    <s v="Resolvido"/>
    <x v="0"/>
    <m/>
  </r>
  <r>
    <s v="FB0149384"/>
    <s v="INSTALAÇÃO DE ILUMINAÇÃO NA SALA DOS QUIMICOS"/>
    <x v="3"/>
    <s v="INSTALAÇÃO DE ILUMINAÇÃO NA SALA DOS QUIMICOS, COM LAMPADA ANTE EXPOSÃO!_x000a__x000a_FOI VERIFICADO COM GUILHERME ESSA IDEIA, SERÁ POSSIVEL FOR PASSADO A FIAÇÃO POR FORA DA SALA, E FEITO UM BURACO SOMENTE PARA LAMPADA PELA PAREDE, NA PAREDE VOLTADA A AREA DO CAMINHOES, VERIFICAR COM ELETRONICO OS MATERIAS NECESSARIOS._x000a__x000a_Aprovado por SHE._x000a_Manutenção:&quot; Ideia esta sendo relizada&quot;"/>
    <s v="Ana Martins"/>
    <s v="Pequena mudança local"/>
    <x v="1"/>
    <x v="502"/>
    <x v="22"/>
    <d v="2026-06-30T11:55:50"/>
    <s v="Ana Martins"/>
    <s v="APROVADORES DE IDEIAS"/>
    <m/>
    <s v="Aguardando Execução "/>
    <x v="1"/>
    <m/>
  </r>
  <r>
    <s v="FB0149417"/>
    <s v="Possível melhoria em embalagem plástica raumak"/>
    <x v="4"/>
    <s v="Comprar embalagem plástica para Raumak mais pesadas, pois, no tamanho maior pois quanto maior menos tempo precisa trocar a bobina. Melhor a produtividade. A mesma embalagem vinha 40kg há muito tempo agora está recorrente as de 30kg aproximado"/>
    <s v="Ana Julia Costa Silva"/>
    <s v="Pequena mudança local"/>
    <x v="9"/>
    <x v="503"/>
    <x v="19"/>
    <d v="2026-05-08T17:25:39"/>
    <m/>
    <s v="APROVADORES DE IDEIAS"/>
    <m/>
    <s v="Rascunho"/>
    <x v="0"/>
    <m/>
  </r>
  <r>
    <s v="FB0150385"/>
    <s v="Melhoria na logica do testador de vacuo pkd"/>
    <x v="2"/>
    <s v="Integrantes: Arthur e Igor Souza,_x000a_Melhoria na logica do testador de vacuo pkd. Consiste em implementar um novo travamento em que o freio antes do testador fique atuado quando não houver pacote na esteira, para que sempre o ciclo de saida dos pacotes acumulados seja sempre igual e não passe pacotes avulsos causando falha nos testes de vacuo_x000a_(a melhoria foi implementada dia 12/05 esta em acompanhamento para estratificação de resultados)"/>
    <s v="Arthur Silva"/>
    <s v="Pequena mudança local"/>
    <x v="3"/>
    <x v="504"/>
    <x v="1"/>
    <d v="2026-05-29T10:12:51"/>
    <m/>
    <s v="IDEIAS-VACUO"/>
    <m/>
    <s v="Resolvido"/>
    <x v="1"/>
    <m/>
  </r>
  <r>
    <s v="FB0150542"/>
    <s v="Melhoria na tampa próximo ao “funil” do esteirao de Cavaco "/>
    <x v="3"/>
    <s v="Criar uma porta na tampa que prende próximo ao Esteirão, para facilitar a limpeza. Pois a tampa é feita de aço extremamente pesada, somada ao peso do pó que se acumula deve pesar aproximadamente 50kg pra ser retirado do alto e na mão, gerando uma condição insegura para quem realiza a atividade tanto ergonômica quanto aumentando o risco de acidente e danos materiais caso ocorra da mesma cair._x000a_Obs:É necessário a retirada da tampa toda vez que realizar a limpeza do esteirao pois é um ponto crítico de acúmulo de pó que pode gerar travamento e quebra no equipamento. _x000a__x000a_SHE: Para a área de SHE, a opção mais adequada é seccionar a tampa, a fim de facilitar o processo de limpeza. Por outro lado, a alternativa de instalar uma porta apresenta um risco elevado de que ela permaneça aberta indevidamente."/>
    <s v="Vinicius De Oliveira"/>
    <s v="Pequena mudança local"/>
    <x v="2"/>
    <x v="505"/>
    <x v="2"/>
    <d v="2026-07-14T12:37:30"/>
    <m/>
    <s v="APROVADORES DE IDEIAS"/>
    <m/>
    <s v="Aguardando Execução "/>
    <x v="0"/>
    <m/>
  </r>
  <r>
    <s v="FB0150729"/>
    <s v="Armadilhas Luminosas Na Logística/Entrada Principal - Adicionar tomadas"/>
    <x v="0"/>
    <s v="Na ultima auditoria Interna a Taina sugeriu adicionar novas armadilhas luminosas próxima as portas e portão, tanto da logística quanto da entrada principal. Precisamos colocar tomadas para assim instalar as armadilhas."/>
    <s v="Alice Morais"/>
    <s v="Pequena mudança local"/>
    <x v="3"/>
    <x v="506"/>
    <x v="20"/>
    <d v="2026-05-26T14:29:06"/>
    <m/>
    <s v="IDEIAS-MELHORIA CONTÍNUA"/>
    <d v="2026-05-26T14:29:06"/>
    <s v="Cancelado"/>
    <x v="1"/>
    <m/>
  </r>
  <r>
    <s v="FB0151505"/>
    <s v="emenda perfeita"/>
    <x v="4"/>
    <s v="criar um suporte movel no suporte que segura a bobina para realizar a emenda da bobina assim evitando o desperdicio de embalagem "/>
    <s v="Alex Barbara"/>
    <s v="Pequena mudança local"/>
    <x v="6"/>
    <x v="507"/>
    <x v="0"/>
    <d v="2026-07-03T11:13:58"/>
    <m/>
    <s v="APROVADORES DE IDEIAS"/>
    <m/>
    <s v="Rascunho"/>
    <x v="1"/>
    <m/>
  </r>
  <r>
    <s v="FB0151722"/>
    <s v="troca dos acrilicos da camara de vacuo pkd"/>
    <x v="4"/>
    <s v="troca dos acrilicos da camara de vacuo pkd, para melhor visualização dos pacotes "/>
    <s v="Arthur Silva"/>
    <s v="Pequena mudança local"/>
    <x v="0"/>
    <x v="508"/>
    <x v="1"/>
    <d v="2026-06-30T14:28:08"/>
    <m/>
    <s v="APROVADORES DE IDEIAS"/>
    <m/>
    <s v="Rascunho"/>
    <x v="1"/>
    <m/>
  </r>
  <r>
    <s v="FB0151723"/>
    <s v="Troca dos vacometros da pkd"/>
    <x v="3"/>
    <s v="Criar um Padrão de vacometro para utilização na Pkd, os que foram instalados, estao com fita isolante para tampar um furo proveniente de uma valvula de posição que ele possuia, porem se soltava com a produção da maquina "/>
    <s v="Arthur Silva"/>
    <s v="Pequena mudança local"/>
    <x v="3"/>
    <x v="509"/>
    <x v="1"/>
    <d v="2026-06-30T11:55:00"/>
    <s v="Ana Martins"/>
    <s v="APROVADORES DE IDEIAS"/>
    <m/>
    <s v="Aguardando Execução "/>
    <x v="1"/>
    <m/>
  </r>
  <r>
    <s v="FB0151957"/>
    <s v="Controle para Tv no administrativo "/>
    <x v="0"/>
    <s v="A TV do setor administrativo não possui controle remoto. Sugiro a aquisição de um, pois ela é utilizada para o acompanhamento da produção."/>
    <s v="Flavia Silveira"/>
    <s v="Pequena mudança local"/>
    <x v="4"/>
    <x v="510"/>
    <x v="20"/>
    <d v="2026-05-29T09:05:14"/>
    <s v="Ana Pereira"/>
    <s v="IDEIAS-MELHORIA CONTÍNUA"/>
    <d v="2026-05-29T09:05:14"/>
    <s v="Cancelado"/>
    <x v="1"/>
    <m/>
  </r>
  <r>
    <s v="FB0152013"/>
    <s v="uma mesa no lugar da lixeira "/>
    <x v="4"/>
    <s v="Minha ideia é remover remover as lixeiras para outro lado e coloca um mesa na Fabrima 5 pois assim temos espaço para fazer as análises . "/>
    <s v="Abner Paiva"/>
    <s v="Pequena mudança local"/>
    <x v="9"/>
    <x v="511"/>
    <x v="0"/>
    <d v="2026-05-27T01:49:39"/>
    <m/>
    <s v="APROVADORES DE IDEIAS"/>
    <m/>
    <s v="Rascunho"/>
    <x v="0"/>
    <m/>
  </r>
  <r>
    <s v="FB0152268"/>
    <s v="PRESENÇA PREMIADA"/>
    <x v="3"/>
    <s v="A Brasanitas está com um programa muito legal, de presença premiada. Todo colaborador que não tiver falta (justificada ou injustificada) e atestado, ganham 200,00 no V.A. O JDE poderia avaliar de fazer algum programa parecido, isso reduz muito o absenteísmo e engaja bastante os colaboradores."/>
    <s v="Aline Fernandes"/>
    <s v="Pequena mudança local"/>
    <x v="0"/>
    <x v="512"/>
    <x v="16"/>
    <d v="2026-09-01T12:26:44"/>
    <s v="Fabrizia Soares"/>
    <s v="APROVADORES DE IDEIAS"/>
    <m/>
    <s v="Aguardando Validação"/>
    <x v="1"/>
    <m/>
  </r>
  <r>
    <s v="FB0152270"/>
    <s v="Facilitador de abertura de chamados"/>
    <x v="2"/>
    <s v="Problema: Muito custo operacional na abertura e acompanhamento dos chamados realizados para colaboradores pelo setor de RH._x000a__x000a_Solução direta: Disponibilização de tablet e computador para preenchimento por parte dos colaboradores._x000a__x000a_Execução: Tutorial de como abrir e preencher o chamado em formato físico e em vídeo, a ideia é disponibilizar em 1 tablet fixo na operação, 1 computador fixo na operação e outro tablet no RH para aqueles que precisarem de auxílio. (Ja possui um tablet no RH que pode ser disponibilizado, já existe o computador na estação digital, já foi conversado com gestor sobre a possibilidade de manter um tablet na operação._x000a__x000a_Objetivo: a ideia é que os gestores acompanhem junto aos colaboradores a resolução e desdobramento dos chamados, e que, o e-mail referente ás solicitações, seja checado regularmente, garantindo um bom tempo de resposta e solução para os problemas identificados relacionados ao RH."/>
    <s v="Weverton Rodrigues"/>
    <s v="Pequena mudança local"/>
    <x v="0"/>
    <x v="513"/>
    <x v="38"/>
    <d v="2026-05-28T14:35:50"/>
    <s v="Weverton Rodrigues"/>
    <s v="IDEIAS-ADMINISTRATIVO"/>
    <m/>
    <s v="Resolvido"/>
    <x v="1"/>
    <m/>
  </r>
  <r>
    <s v="FB0152430"/>
    <s v="Instalação de seccionadora individual para uso da manivela manual durante emergências na torradora."/>
    <x v="4"/>
    <s v="Instalação de seccionadora individual para uso da manivela manual durante emergências no torrador. Esta ação garantirá que os operadores do torrador possam realizar o procedimento de uso da manivela em caso de emergência, sem a necessidade de chamar ou aguardar um eletrônico."/>
    <s v="Guilherme Oliveira"/>
    <s v="Pequena mudança local"/>
    <x v="2"/>
    <x v="514"/>
    <x v="2"/>
    <d v="2026-06-30T14:28:54"/>
    <m/>
    <s v="APROVADORES DE IDEIAS"/>
    <m/>
    <s v="Rascunho"/>
    <x v="1"/>
    <m/>
  </r>
  <r>
    <s v="FB0152719"/>
    <s v="Instalação de prendedores para as fornalhas  "/>
    <x v="0"/>
    <s v="Atualmente, os prendedores de vassouras e rodos das fornalhas estão localizados longe do ponto onde as ferramentas são utilizadas. Portanto, seria ideal a instalação de novos prendedores próximos às caçambas de películas de café, visando melhorar a organização da área. Só precisaria dos prendedores que o almoxarifado tem em estoque e um mecânico para parafusar "/>
    <s v="Valeria Yanez"/>
    <s v="Pequena mudança local"/>
    <x v="0"/>
    <x v="515"/>
    <x v="39"/>
    <d v="2026-06-03T12:18:17"/>
    <m/>
    <s v="IDEIAS-PROCESSOS"/>
    <d v="2026-06-03T12:18:17"/>
    <s v="Cancelado"/>
    <x v="1"/>
    <m/>
  </r>
  <r>
    <s v="FB0152795"/>
    <s v="Café do CGC contado duas vezes."/>
    <x v="0"/>
    <s v="Criar uma ferramenta para raspar ou bater esse café grudado. Esse café é pesado duas x."/>
    <s v="Bruno Resende"/>
    <s v="Pequena mudança local"/>
    <x v="3"/>
    <x v="516"/>
    <x v="8"/>
    <d v="2026-07-28T17:10:07"/>
    <m/>
    <s v="APROVADORES DE IDEIAS"/>
    <d v="2026-07-28T17:10:07"/>
    <s v="Cancelado"/>
    <x v="0"/>
    <m/>
  </r>
  <r>
    <s v="FB0152922"/>
    <s v="a escada grande da PKD."/>
    <x v="2"/>
    <s v="Todas as áreas pega leva emprestada e nem sempre devolve. Quando vira pacote no disco do alpino precisamos dela porque é a única que dá da altura no alpino . A sugestão é. Que trancamos ela  e a chave fica com o operador de cada turno assim sabemos quem pegou. Fica mais fácil de localizar e pedir a devolução."/>
    <s v="Romilda Cunha"/>
    <s v="Pequena mudança local"/>
    <x v="1"/>
    <x v="517"/>
    <x v="0"/>
    <d v="2026-08-06T09:35:20"/>
    <s v="Flavia Silveira"/>
    <s v="APROVADORES DE IDEIAS"/>
    <m/>
    <s v="Resolvido"/>
    <x v="0"/>
    <m/>
  </r>
  <r>
    <s v="FB0153239"/>
    <s v="carrinho reserva para o detector de metal"/>
    <x v="4"/>
    <s v="Carrinho de reprocesso reserva para o detector de metal"/>
    <s v="Fabricio Brant"/>
    <s v="Pequena mudança local"/>
    <x v="2"/>
    <x v="518"/>
    <x v="1"/>
    <d v="2026-06-30T14:29:39"/>
    <m/>
    <s v="APROVADORES DE IDEIAS"/>
    <m/>
    <s v="Rascunho"/>
    <x v="0"/>
    <m/>
  </r>
  <r>
    <s v="FB0153280"/>
    <s v="Criação do palete de RO"/>
    <x v="3"/>
    <s v="Criação do palete de RO._x000a_Hoje temos problemas do operador nao pesar as bobinas de RO com a criação do palete de RO ao lado da balança esse problema tende a diminuir."/>
    <s v="Bruno Resende"/>
    <s v="Pequena mudança local"/>
    <x v="0"/>
    <x v="519"/>
    <x v="0"/>
    <d v="2026-09-17T14:04:16"/>
    <s v="Jhonnathan Pereira"/>
    <s v="APROVADORES DE IDEIAS"/>
    <m/>
    <s v="Aguardando Orçamento"/>
    <x v="0"/>
    <m/>
  </r>
  <r>
    <s v="FB0153364"/>
    <s v="Redução da saída de café das bicas "/>
    <x v="3"/>
    <s v="A proposta é substituir o mangote por um “funil” metálico pois assim reduziríamos o fluxo de café e consequentemente evitaríamos a poeira suspensa e derramamento de café na parte da plataforma que fica as rodas da carreta._x000a__x000a_Temos no galpão 3 o material necessário para execução da ideia."/>
    <s v="Nilton F Costa"/>
    <s v="Pequena mudança local"/>
    <x v="3"/>
    <x v="520"/>
    <x v="8"/>
    <d v="2026-07-14T12:36:03"/>
    <m/>
    <s v="APROVADORES DE IDEIAS"/>
    <m/>
    <s v="Aguardando Execução "/>
    <x v="0"/>
    <m/>
  </r>
  <r>
    <s v="FB0153880"/>
    <s v="Criação de bancada exclusiva para testes de motores"/>
    <x v="4"/>
    <s v="Seria necessario a criação de uma bancada especifica e isolada para realização de teste em motores na oficina de manutenção, hj temos um painel de testes porem, nao conseguimos testar alguns motores com ele, e tbm o espaço para os testes e ocupado por outras coisas e não e especifico parar esse motivo_x000a__x000a_Sera necessario a avaliação de um eletronico para a adequação e consolidação de como seria feito essa bancada."/>
    <s v="Arthur Silva"/>
    <s v="Pequena mudança local"/>
    <x v="0"/>
    <x v="521"/>
    <x v="16"/>
    <d v="2026-07-03T11:24:37"/>
    <m/>
    <s v="APROVADORES DE IDEIAS"/>
    <m/>
    <s v="Rascunho"/>
    <x v="1"/>
    <m/>
  </r>
  <r>
    <s v="FB0153915"/>
    <s v="empurrador de caixa(robô)"/>
    <x v="3"/>
    <s v="Acrescentar na árvore de perca ,empurrador de caixa do robô "/>
    <s v="Fabricio Brant"/>
    <s v="Pequena mudança local"/>
    <x v="4"/>
    <x v="522"/>
    <x v="1"/>
    <d v="2026-06-11T14:39:37"/>
    <s v="Relton Moraes"/>
    <s v="IDEIAS-VACUO"/>
    <m/>
    <s v="Aguardando Execução "/>
    <x v="0"/>
    <m/>
  </r>
  <r>
    <s v="FB0154141"/>
    <s v="carrinho para bobina pequena  para PKD "/>
    <x v="4"/>
    <s v="Carrinho para pegar bobina menores  na PKD, pois quando a troca de produto dos carrinhos das fabrimas tá ocupado vira um caos "/>
    <s v="Fabricio Brant"/>
    <s v="Pequena mudança local"/>
    <x v="0"/>
    <x v="523"/>
    <x v="1"/>
    <d v="2026-06-30T14:34:54"/>
    <m/>
    <s v="APROVADORES DE IDEIAS"/>
    <m/>
    <s v="Rascunho"/>
    <x v="0"/>
    <m/>
  </r>
  <r>
    <s v="FB0154235"/>
    <s v="TORNEIRA COM ACIONAMENTO AUTOMÁTICO"/>
    <x v="0"/>
    <s v="Ao realizar a troca da torneira da barreira sanitária da manutenção, instalar uma de acionamento automático igual dos vestiários. A torneira utilizada atualmente, fica acionando toda vez que passamos na frente e isso causa um gasto desnecessário de água, ou trocar um modelo para uma que o sensor seja no bico da torneira. "/>
    <s v="Aline Fernandes"/>
    <s v="Pequena mudança local"/>
    <x v="0"/>
    <x v="524"/>
    <x v="16"/>
    <d v="2026-06-10T09:36:40"/>
    <m/>
    <s v="IDEIAS-ADMINISTRATIVO"/>
    <d v="2026-06-10T09:36:40"/>
    <s v="Cancelado"/>
    <x v="1"/>
    <m/>
  </r>
  <r>
    <s v="FB0154244"/>
    <s v="Melhoria Para esvaziar Tanque de água Torrador 01"/>
    <x v="3"/>
    <s v="Toda Atuação para esvaziar tanque de água do torrador 01 ela precisa ser feita retirando toda água em um carrinho de inox porém devido a estrutura do torrador não conseguimos colocar o carrinho abaixo do dreno 100%. A ideia que melhor nos atende para não gerar tanto impacto de trabalho seria Adicionar Um JOELHO DE 90° na saída do Dreno, assim ficaria mais fácil e ágil para retirada da água do tanque e não geraria tanto transtorno para time de manufatura e brasanita de limpeza da Área "/>
    <s v="Edvaldo Silva"/>
    <s v="Grande mudança local"/>
    <x v="2"/>
    <x v="525"/>
    <x v="11"/>
    <d v="2026-07-14T12:39:48"/>
    <m/>
    <s v="APROVADORES DE IDEIAS"/>
    <m/>
    <s v="Aguardando Orçamento"/>
    <x v="0"/>
    <m/>
  </r>
  <r>
    <s v="FB0154266"/>
    <s v="Projeto de Melhoria para YIELD  torrador 02"/>
    <x v="3"/>
    <s v="Projeto de melhoria para torrador 02 da troca da válvula rotativa por RP ( Gaveta ). Hoje atualmente o yield do torrador 01 tem mais referência de resultados positivos do que torrador 02. OBS: Hoje no torrador 01 devido ser Gaveta ela é 100% vedada garantindo que quando o exaustor faz a exaustão para puxar o café para balança faz com que quando atingir o ventilar máximo em 60HZ e sendo gaveta garanti que não ocorra passagem de ar e não puxe a balança na interferência da pesagem e cálculo do YIELD, como no torrador 02 é válvula rotativa e ao atingir o ventilar na velocidade máxima de 60HZ pode ser que ele puxe a balança devido ser válvula rotativa dando passagem do ar e interferindo nas pesagem das torra e no cálculo do YIELD, lembrando que o torrador 02 ele é sempre mais baixo que o torrador 01 em relação a resultados. A ideia é replicar a gaveta igual do torrador 01 para o torrador 02 para eliminar essas perdas que temos, fotos ilustradas acima para melhor entender._x000a_"/>
    <s v="Edvaldo Silva"/>
    <s v="Grande mudança local"/>
    <x v="7"/>
    <x v="526"/>
    <x v="11"/>
    <d v="2026-07-14T12:41:07"/>
    <m/>
    <s v="APROVADORES DE IDEIAS"/>
    <m/>
    <s v="Aguardando Aprovação de CAPEX"/>
    <x v="0"/>
    <m/>
  </r>
  <r>
    <s v="FB0154427"/>
    <s v="Carregamento de café a granel "/>
    <x v="3"/>
    <s v="Realizar uma melhoria para conseguir o carregamento de café a granel, hoje temos dificuldades para devolver café quando encontrado algum contaminante ou fora da especificação após o descarregamento._x000a_A ideia é retornar o café no elevador 09 diretamente para a carreta, adaptar uma bica com registro na rosca para conseguir direcionar o café para a carreta."/>
    <s v="Moises Costa"/>
    <s v="Pequena mudança local"/>
    <x v="4"/>
    <x v="527"/>
    <x v="8"/>
    <d v="2026-09-01T12:23:57"/>
    <s v="Ana Martins"/>
    <s v="APROVADORES DE IDEIAS"/>
    <m/>
    <s v="Aguardando Aprovação de CAPEX"/>
    <x v="0"/>
    <m/>
  </r>
  <r>
    <s v="FB0154434"/>
    <s v="depósito de cola do coleiro sem marcação "/>
    <x v="3"/>
    <s v="O depósito de cola do coleiro Fabrima 02 e 03 não tem nenhuma marcação que especifica se tem a quantidade de cola certa faltando ou sobrando cola"/>
    <s v="Daniela Alves"/>
    <s v="Pequena mudança local"/>
    <x v="2"/>
    <x v="528"/>
    <x v="19"/>
    <d v="2026-07-14T12:37:54"/>
    <m/>
    <s v="APROVADORES DE IDEIAS"/>
    <m/>
    <s v="Aguardando Validação"/>
    <x v="0"/>
    <m/>
  </r>
  <r>
    <s v="FB0154446"/>
    <s v="DOAÇÃO DE TUBETES DE PAPELÃO"/>
    <x v="0"/>
    <s v="Boa parte do nosso descarte de papelão são tubetes de embalagem, tentamos uma logística reversa com o fornecedor, porém não tivemos sucesso por eles terem que pagar o transporte desse material.  _x000a__x000a_Pensamos na possibilidade de realizar a doação desse material, para a empresa de reciclagem que temos em Piumhi, teriamos uma redução no nosso descarte desse material, tendo em vista que a venda não é tão vantajosa para a JDE._x000a_"/>
    <s v="Aline Fernandes"/>
    <s v="Pequena mudança local"/>
    <x v="1"/>
    <x v="529"/>
    <x v="16"/>
    <d v="2026-07-14T17:30:57"/>
    <m/>
    <s v="APROVADORES DE IDEIAS"/>
    <d v="2026-07-14T17:30:57"/>
    <s v="Cancelado"/>
    <x v="1"/>
    <m/>
  </r>
  <r>
    <s v="FB0154804"/>
    <s v="melhoria   CIL"/>
    <x v="4"/>
    <s v="Limpeza no sensor de apara "/>
    <s v="Fabricio Brant"/>
    <s v="Pequena mudança local"/>
    <x v="2"/>
    <x v="530"/>
    <x v="1"/>
    <d v="2026-06-30T14:38:04"/>
    <m/>
    <s v="APROVADORES DE IDEIAS"/>
    <m/>
    <s v="Rascunho"/>
    <x v="0"/>
    <m/>
  </r>
  <r>
    <s v="FB0154914"/>
    <s v="Substituição dos sensores magnéticos das portas por modelos com LED de indicação visual, facilitando a identificação de portas abertas, mal fechadas ou sensores"/>
    <x v="3"/>
    <s v="Atualmente, ocorrem diversas paradas de máquina causadas por portas mal fechadas ou sensores magnéticos desalinhados. Em muitos casos, a identificação da porta responsável pela falha demanda tempo e requer a intervenção da equipe de manutenção._x000a_Como melhoria, propõe-se a substituição dos sensores magnéticos atuais dos equipamentos Fabrima e Raumak por modelos com indicação visual por LED. Dessa forma, os operadores poderão identificar rapidamente qual porta está aberta, parcialmente aberta ou com problema de alinhamento, sem a necessidade imediata de acionar a manutenção._x000a_A implementação inicial será realizada na Linha 5, com o objetivo de validar os resultados obtidos. Após a comprovação dos benefícios, a solução poderá ser replicada para as demais linhas da unidade."/>
    <s v="Igor Sousa"/>
    <s v="Grande mudança local"/>
    <x v="6"/>
    <x v="531"/>
    <x v="20"/>
    <d v="2026-06-19T10:56:32"/>
    <m/>
    <s v="IDEIAS-MELHORIA CONTÍNUA"/>
    <m/>
    <s v="Resolvido"/>
    <x v="1"/>
    <s v="Cancelada"/>
  </r>
  <r>
    <s v="FB0154917"/>
    <s v="Substituição dos sensores capacitivos IFM dos transportes de café cru por sensores Baumer, visando aumentar a confiabilidade da detecção de nível e reduzir falh"/>
    <x v="4"/>
    <s v="Substituição dos sensores capacitivos IFM utilizados nos transportes de café cru por sensores capacitivos Baumer. O modelo atual apresenta variações de detecção devido às mudanças nas características do café, principalmente pela presença de poeira, ocasionando envio incorreto de produto para os torradores. O modelo Baumer permite um ajuste mais preciso da sensibilidade conforme as características do material, proporcionando maior confiabilidade na detecção. Este mesmo modelo já é utilizado com sucesso nos silos de pó."/>
    <s v="Igor Sousa"/>
    <s v="Grande mudança local"/>
    <x v="2"/>
    <x v="532"/>
    <x v="8"/>
    <d v="2026-07-03T11:30:49"/>
    <m/>
    <s v="APROVADORES DE IDEIAS"/>
    <m/>
    <s v="Rascunho"/>
    <x v="1"/>
    <m/>
  </r>
  <r>
    <s v="FB0155417"/>
    <s v="Gestão de rádios com rastreio em tempo real e responsabilidade dos usuários."/>
    <x v="4"/>
    <s v="Melhoria na gestão de rádios e acessórios, com controle em tempo real da localização dos equipamentos e implementação de termos de responsabilidade para os associados, garantindo maior organização, rastreabilidade e conservação dos recursos._x000a_"/>
    <s v="Vinicius Oliveira"/>
    <s v="Pequena mudança local"/>
    <x v="1"/>
    <x v="533"/>
    <x v="22"/>
    <d v="2026-06-30T14:38:55"/>
    <m/>
    <s v="APROVADORES DE IDEIAS"/>
    <m/>
    <s v="Rascunho"/>
    <x v="1"/>
    <m/>
  </r>
  <r>
    <s v="FB0155442"/>
    <s v="retirar segundo alarme do detector de metais(corpo de prova)"/>
    <x v="4"/>
    <s v="Desde 01/06 foi feita uma mudança pra que o teste ocorresse para apenas uma vez no turno._x000a_Não é necessário o segundo alarme mais "/>
    <s v="Ruth Fonseca"/>
    <s v="Pequena mudança local"/>
    <x v="9"/>
    <x v="534"/>
    <x v="19"/>
    <d v="2026-06-19T02:52:35"/>
    <m/>
    <s v="APROVADORES DE IDEIAS"/>
    <m/>
    <s v="Rascunho"/>
    <x v="0"/>
    <m/>
  </r>
  <r>
    <s v="FB0155532"/>
    <s v="Mudança de local da etiquetadora da linha 4"/>
    <x v="2"/>
    <s v="Já realizada_x000a_Realizado a mudança da etiquetadora para a esteira posterior para melhor desempenho e facilidade no ajuste da etiquetadora diminuindo falhas e sujidade excessiva gerada por mal ajuste da mesma"/>
    <s v="Arthur Silva"/>
    <s v="Pequena mudança local"/>
    <x v="3"/>
    <x v="535"/>
    <x v="5"/>
    <d v="2026-09-08T11:22:06"/>
    <m/>
    <s v="APROVADORES DE IDEIAS"/>
    <m/>
    <s v="Resolvido"/>
    <x v="1"/>
    <m/>
  </r>
  <r>
    <s v="FB0155552"/>
    <s v="adicionar três caixas dessa embaixo da mesa do borracheiro "/>
    <x v="3"/>
    <s v="adicionar três caixas dessa embaixo da mesa do borracheiro "/>
    <s v="Ilbert Caetano"/>
    <s v="Pequena mudança local"/>
    <x v="3"/>
    <x v="536"/>
    <x v="1"/>
    <d v="2026-06-25T15:44:41"/>
    <s v="Flavia Silveira"/>
    <s v="APROVADORES DE IDEIAS"/>
    <m/>
    <s v="Aguardando material "/>
    <x v="0"/>
    <m/>
  </r>
  <r>
    <s v="FB0155757"/>
    <s v="Implementação Na Área descarte para limpeza para Área "/>
    <x v="3"/>
    <s v="Área de resíduos de descarte de rejeitos não tem uma vassoura e nem uma Pá, a ideia é implementar um guia de suporte contendo uma vassoura e uma pá para que após os associados realizarem os descartes realizar a limpeza da área, nessa área de descarte não existe esses itens para limpeza assim a área fica limpa e logo após realizados os descarte realizaremos a limpeza do chão e otimizamos tempo ao voltar até a linha e até a área novamente "/>
    <s v="Edvaldo Silva"/>
    <s v="Pequena mudança local"/>
    <x v="0"/>
    <x v="537"/>
    <x v="0"/>
    <d v="2026-09-01T12:19:32"/>
    <s v="Jhonnathan Pereira"/>
    <s v="APROVADORES DE IDEIAS"/>
    <m/>
    <s v="Aguardando Orçamento"/>
    <x v="0"/>
    <m/>
  </r>
  <r>
    <s v="FB0155760"/>
    <s v="Centralização das etiquetas SHEalert no quadro para facilitar atualização pela equipe"/>
    <x v="1"/>
    <s v="Atualmente, as etiquetas de SHEalert encontram-se armazenadas em gavetas sob responsabilidade de membros da equipe de SHE, o que acaba dificultando o processo de atualização. Essa prática limita o acesso e a gestão a uma única pessoa, reduzindo a agilidade e a eficiência na manutenção das informações._x000a_A proposta desta ideia é tornar o acesso às etiquetas mais democrático, permitindo que qualquer integrante da equipe de SHE possa realizar atualizações sempre que necessário. Para isso, sugere-se que as etiquetas sejam disponibilizadas diretamente no próprio quadro, facilitando o acesso imediato._x000a_Com essa mudança, busca-se garantir que a fábrica e os quadros informativos permaneçam constantemente atualizados, de forma mais rápida, prática e eficiente."/>
    <s v="Jhonnathan Pereira"/>
    <s v="Pequena mudança local"/>
    <x v="1"/>
    <x v="538"/>
    <x v="22"/>
    <d v="2026-06-22T14:54:49"/>
    <s v="Jhonnathan Pereira"/>
    <s v="IDEIAS-SHE"/>
    <d v="2026-06-22T14:54:49"/>
    <s v="Fechado"/>
    <x v="1"/>
    <m/>
  </r>
  <r>
    <s v="FB0155976"/>
    <s v="Remoção de parâmetros com senha na Fabrima 2 (alinhado com Fabrima 4 e 5)"/>
    <x v="4"/>
    <s v="A ideia é revisar e retirar os parâmetros que possuem senha na Fabrima 2, seguindo o mesmo padrão já adotado nas Fabrimas 4 e 5._x000a_Durante essa revisão, será realizado um alinhamento conjunto com o Operador e o Coordenador para garantir clareza e segurança na tomada de decisão._x000a__x000a_Objetivo_x000a_Identificar todos os parâmetros da Fabrima 2 que atualmente utilizam senha_x000a_Avaliar, em conjunto com o Operador e o Coordenador, quais parâmetros:_x000a_Podem ter a senha removida_x000a_Precisam obrigatoriamente manter senha_x000a_Garantir que os parâmetros estejam corretamente classificados conforme necessidade operacional e de segurança_x000a_Participantes: Igor, Rafael e Flávia "/>
    <s v="Flavia Silveira"/>
    <s v="Pequena mudança local"/>
    <x v="2"/>
    <x v="539"/>
    <x v="0"/>
    <d v="2026-07-03T11:31:19"/>
    <m/>
    <s v="APROVADORES DE IDEIAS"/>
    <m/>
    <s v="Rascunho"/>
    <x v="1"/>
    <m/>
  </r>
  <r>
    <s v="FB0155992"/>
    <s v="Mudança de extintor"/>
    <x v="3"/>
    <s v="O extintor de incêndio, localizado ao lado do espaço de trabalho da Fabrízia, possui uma localização ruim que limita um pouco a chegada e fica numa área onde as pessoas costumam sentar para tratar temas com a BP. Existe um local próximo a TV que parece ideal para nova localização, onde já existe um ponto de hidrante para uso em uma possível situação de risco."/>
    <s v="Weverton Rodrigues"/>
    <s v="Pequena mudança local"/>
    <x v="1"/>
    <x v="540"/>
    <x v="38"/>
    <d v="2026-07-14T10:27:31"/>
    <s v="Tiago Carvalho"/>
    <s v="APROVADORES DE IDEIAS"/>
    <m/>
    <s v="Aguardando Execução "/>
    <x v="1"/>
    <m/>
  </r>
  <r>
    <s v="FB0156112"/>
    <s v="Digitalização de paradas da moagem"/>
    <x v="2"/>
    <s v="Criar um aplicativo capaz de realizar os apontamentos das paradas da moagem, eliminando os registros em papel e trazendo mais agilidade ao processo. Dessa forma, não seria mais necessário digitar manualmente na árvore de perdas, pois o sistema faria a atualização automaticamente."/>
    <s v="Moises Costa"/>
    <s v="Pequena mudança local"/>
    <x v="2"/>
    <x v="541"/>
    <x v="3"/>
    <d v="2026-09-09T13:40:21"/>
    <m/>
    <s v="APROVADORES DE IDEIAS"/>
    <m/>
    <s v="Resolvido"/>
    <x v="0"/>
    <m/>
  </r>
  <r>
    <s v="FB0156151"/>
    <s v="Instalação de suporte para materiais de limpeza na área das peneiras"/>
    <x v="2"/>
    <s v="A instalação de um suporte para pá e vassoura proporcionará melhor organização, fácil acesso aos utensílios e maior agilidade na limpeza da área. Seria muito bom instalar um para a área das Fabrimas e outro na PKD"/>
    <s v="Valeria Yanez"/>
    <s v="Pequena mudança local"/>
    <x v="0"/>
    <x v="542"/>
    <x v="0"/>
    <d v="2026-09-17T13:57:47"/>
    <m/>
    <s v="APROVADORES DE IDEIAS"/>
    <m/>
    <s v="Aguardando Orçamento"/>
    <x v="1"/>
    <s v="CANCELADO"/>
  </r>
  <r>
    <s v="FB0156168"/>
    <s v="Porta crachá com cordão retrátil "/>
    <x v="0"/>
    <s v="Atualmente a fábrica implementou o uso de roletas com bloqueio de acesso a locais da fábrica, com isso passou a ser necessário o uso constante do crachá de identificação e de acesso as areas da fábrica. Na maioria dos casos ao passar na catraca é necessário abaixar para aproximar o cartão a catraca ou retirar o crachá do pescoço ou bolso, afetando a ergonomia dos funcionários que circulam pela fabrica muitas vezes ao dia._x000a__x000a_O porta crachá com cordão retrátil, permite que você puxe o crachá até a roleta, não necessitando a retida do mesmo ou abaixar para se aproximar da roleta. Dependendo do modelo escolhido é possível também que o funcionário coloque o crachá preso ao uniforme no ponto que se sentir mais confortável de usar. _x000a_"/>
    <s v="Matheus Rodrigues"/>
    <s v="Pequena mudança local"/>
    <x v="0"/>
    <x v="543"/>
    <x v="16"/>
    <d v="2026-09-04T15:30:45"/>
    <m/>
    <s v="APROVADORES DE IDEIAS"/>
    <d v="2026-09-04T15:30:45"/>
    <s v="Cancelado"/>
    <x v="1"/>
    <m/>
  </r>
  <r>
    <s v="FB0156301"/>
    <s v="Relógio "/>
    <x v="2"/>
    <s v="Entrar em contato com o pessoal da programação se possível colocar um relógio na área demarcada para acompanhar o horário de análise e também no final de turno para ter mais precisão ao desligar a máquina. _x000a__x000a_Relton, por favor, ver com a EGE. "/>
    <s v="Patrick Pessoa"/>
    <s v="Pequena mudança local"/>
    <x v="0"/>
    <x v="544"/>
    <x v="1"/>
    <d v="2026-07-08T10:26:14"/>
    <s v="Relton Moraes"/>
    <s v="APROVADORES DE IDEIAS"/>
    <m/>
    <s v="Resolvido"/>
    <x v="0"/>
    <m/>
  </r>
  <r>
    <s v="FB0156312"/>
    <s v="Câmera na área da revisão - acompanhamento ao longo do turno"/>
    <x v="4"/>
    <s v="Posicionar uma câmera adicional ao sistema de gestão das câmeras da manutenção (as que cobrem máquina e robô) ou de Facilities (que cobre as imagens do torrador), para que possamos acompanhar a área de revisão da sala de liderança. Há muito deslocamento para a área para verificar a situação ou acompanhar se pallets foram retornados. Isso traz autonomia pra gestão do turno e garente que menos pallets fiquem para trás, porque gerimos melhor aquela área junto do time e evitando gerar impacto em RFT. _x000a__x000a_(Obs: Eli pode ajudar a entender o custo para implantar + adição no contrato mensal pra manter essa imagem)"/>
    <s v="Giovanna Biffaratte"/>
    <s v="Pequena mudança local"/>
    <x v="0"/>
    <x v="545"/>
    <x v="0"/>
    <d v="2026-06-25T11:18:09"/>
    <m/>
    <s v="APROVADORES DE IDEIAS"/>
    <m/>
    <s v="Rascunho"/>
    <x v="1"/>
    <m/>
  </r>
  <r>
    <s v="FB0156313"/>
    <s v="TV de monitoramento (igual as imagens disponíveis no supervisório) - instalada na sala da liderança"/>
    <x v="4"/>
    <s v="Instalar uma TV com as mesmas imagens dos torradores aqui dentro do container. É importante por vias de segurança e gestão da área que consigamos ver a situação de uma área crítica. Podemos identificar também fagulhas, vazamentos, áreas com acúmulo de pó em uma área ATEX e direcionar as contingências de forma mais rápida. "/>
    <s v="Giovanna Biffaratte"/>
    <s v="Pequena mudança local"/>
    <x v="4"/>
    <x v="546"/>
    <x v="16"/>
    <d v="2026-07-03T11:31:55"/>
    <m/>
    <s v="APROVADORES DE IDEIAS"/>
    <m/>
    <s v="Rascunho"/>
    <x v="1"/>
    <m/>
  </r>
  <r>
    <s v="FB0156324"/>
    <s v="Adicionar um banco próximo à árvore para proporcionar um espaço de descanso e convivência aos colaboradores durante o período pós-almoço"/>
    <x v="0"/>
    <s v="Disponibilizar um espaço ao ar livre para descanso e convivência dos colaboradores durante os intervalos, bem-estar e integração da equipe."/>
    <s v="Anderson Santana"/>
    <s v="Pequena mudança local"/>
    <x v="0"/>
    <x v="547"/>
    <x v="16"/>
    <d v="2026-09-04T15:38:56"/>
    <m/>
    <s v="APROVADORES DE IDEIAS"/>
    <d v="2026-09-04T15:38:56"/>
    <s v="Cancelado"/>
    <x v="1"/>
    <m/>
  </r>
  <r>
    <s v="FB0156490"/>
    <s v="Magazine de pacotes"/>
    <x v="3"/>
    <s v="Realizar a duplicação  do ponto de abertura ou fechamento do magazine de pacotes nos pontos sugeridos . _x000a_Para eliminar na necessidade do operador ir do outro lado da máquina ,pois operador passa a maior parte da operação do lado sugerindo a colocação dos pontos._x000a_Ideia discutida com Henrique Cardoso."/>
    <s v="Patrick Pessoa"/>
    <s v="Pequena mudança local"/>
    <x v="0"/>
    <x v="548"/>
    <x v="1"/>
    <d v="2026-06-29T18:10:00"/>
    <s v="Ana Martins"/>
    <s v="APROVADORES DE IDEIAS"/>
    <m/>
    <s v="Aguardando Orçamento"/>
    <x v="0"/>
    <m/>
  </r>
  <r>
    <s v="FB0156495"/>
    <s v="Instalação de uma luz de emergencia no container de manufatura "/>
    <x v="3"/>
    <s v="Atualmente nas quedas de energia no container de manufatura não tem uma luz de emergencia, instalar uma na tomada aérea que já tem aqui "/>
    <s v="Valeria Yanez"/>
    <s v="Pequena mudança local"/>
    <x v="1"/>
    <x v="549"/>
    <x v="0"/>
    <d v="2026-08-17T10:48:03"/>
    <s v="Anderson Santana"/>
    <s v="APROVADORES DE IDEIAS"/>
    <m/>
    <s v="Aguardando Execução "/>
    <x v="1"/>
    <m/>
  </r>
  <r>
    <s v="FB0157271"/>
    <s v="Fazer um puxador, para facilitar na troca do balde de rejeito do detector de metal "/>
    <x v="4"/>
    <s v="Fazer um puxador, para facilitar na troca do balde de rejeito do detector de metal"/>
    <s v="Karina Silva"/>
    <s v="Pequena mudança local"/>
    <x v="9"/>
    <x v="550"/>
    <x v="1"/>
    <d v="2026-07-01T20:37:37"/>
    <m/>
    <s v="APROVADORES DE IDEIAS"/>
    <m/>
    <s v="Rascunho"/>
    <x v="0"/>
    <m/>
  </r>
  <r>
    <s v="FB0157432"/>
    <s v="caixa de máscaras com válvulas"/>
    <x v="0"/>
    <s v="Mais práticos paras nos funcionários pegar e usar "/>
    <s v="Thais Souza"/>
    <s v="Pequena mudança local"/>
    <x v="0"/>
    <x v="551"/>
    <x v="5"/>
    <d v="2026-09-09T15:02:36"/>
    <m/>
    <s v="APROVADORES DE IDEIAS"/>
    <d v="2026-09-09T15:02:36"/>
    <s v="Cancelado"/>
    <x v="0"/>
    <m/>
  </r>
  <r>
    <s v="FB0157443"/>
    <s v="padronização da alimentação do moinho 2"/>
    <x v="4"/>
    <s v="Integrantes da ideia: arthur, fabio, Igor, Marcao_x000a_A ideia consiste na montagem de um servo de alimentação, juntamente com suas cremalheiras e uma regua de alimentação compativel com o sistema. sera necessario tambem a montagem de 2 novas polias para o acionamento do rolo alimentador com o motor do lado A._x000a_Sera necessario serviço de usinagem e moinho parado minimo 3 dias."/>
    <s v="Arthur Silva"/>
    <s v="Pequena mudança local"/>
    <x v="4"/>
    <x v="552"/>
    <x v="40"/>
    <d v="2026-07-15T21:21:01"/>
    <m/>
    <s v="APROVADORES DE IDEIAS"/>
    <m/>
    <s v="Rascunho"/>
    <x v="1"/>
    <m/>
  </r>
  <r>
    <s v="FB0157444"/>
    <s v="padronização da vazão do moinho 5"/>
    <x v="4"/>
    <s v="Integrantes da ideia: arthur, fabio, Igor, Marcao_x000a_A ideia consiste na montagem de um servo de alimentação, juntamente com suas cremalheiras e uma regua de alimentação compativel com o sistema. sera necessario tambem a montagem de 2 novas polias para o acionamento do rolo alimentador com o motor do lado A._x000a_Sera necessario serviço de usinagem e moinho parado minimo 3 dias."/>
    <s v="Arthur Silva"/>
    <s v="Pequena mudança local"/>
    <x v="9"/>
    <x v="553"/>
    <x v="41"/>
    <d v="2026-07-02T20:28:55"/>
    <m/>
    <s v="APROVADORES DE IDEIAS"/>
    <m/>
    <s v="Rascunho"/>
    <x v="1"/>
    <m/>
  </r>
  <r>
    <s v="FB0157458"/>
    <s v="Caixa de carregador pra tablete café cru"/>
    <x v="3"/>
    <s v="Estalar uma caixinha de carregador para carregar o tablete do café cru "/>
    <s v="Thais Souza"/>
    <s v="Pequena mudança local"/>
    <x v="0"/>
    <x v="554"/>
    <x v="5"/>
    <d v="2026-09-18T09:50:35"/>
    <m/>
    <s v="APROVADORES DE IDEIAS"/>
    <m/>
    <s v="Rascunho"/>
    <x v="0"/>
    <m/>
  </r>
  <r>
    <s v="FB0157517"/>
    <s v="Adicionar ponto de tomada ao lado da peneira 01 e das peneiras 02/03 para usar aspirador"/>
    <x v="3"/>
    <s v="Adicionar pontos de tomada para utilização de aspirador de pó durante a limpeza das peneiras, visando garantir que a área fique sempre limpa e que a atividade seja realizada de forma mais ágil. "/>
    <s v="Giovanna Biffaratte"/>
    <s v="Pequena mudança local"/>
    <x v="0"/>
    <x v="555"/>
    <x v="0"/>
    <d v="2026-07-03T13:16:01"/>
    <s v="Ana Martins"/>
    <s v="APROVADORES DE IDEIAS"/>
    <m/>
    <s v="Aguardando Orçamento"/>
    <x v="1"/>
    <m/>
  </r>
  <r>
    <s v="FB0157549"/>
    <s v="Adaptação do silo de serviço."/>
    <x v="4"/>
    <s v="Afim de diminuir o travamento causado por acúmulo de poeira, na parte inferior das roscas do silo de serviço, a sugestão é colocar uma “tela forte”, na parte de baixo. Com a trepidação do aparelho, o pó irá sair por esta tela, e cair em uma calha removível, que poderá ser esvaziada sempre que necessário."/>
    <s v="Camila Silva"/>
    <s v="Pequena mudança local"/>
    <x v="9"/>
    <x v="556"/>
    <x v="8"/>
    <d v="2026-07-04T09:41:44"/>
    <m/>
    <s v="APROVADORES DE IDEIAS"/>
    <m/>
    <s v="Rascunho"/>
    <x v="0"/>
    <m/>
  </r>
  <r>
    <s v="FB0157790"/>
    <s v="Substituir as rodinhas dos carrinhos de reprocessos do empacotamento"/>
    <x v="3"/>
    <s v="As rodinhas hoje são incompatíveis com o peso transportado pelos carrinhos, muitas vezes de 40 - 50kg. Elas travam e dificultam o processo de transporte até a moagem exigindo esforço excessivo. Além de riscar todo o piso. Sugestão é trocar por outros rodízios com capacidade para 80kg, como do exemplo no link e como foto anexa a ideia. _x000a_https://www.gadotticar.com.br/produto/rodizio-4-polegadas-giratorio"/>
    <s v="Giovanna Biffaratte"/>
    <s v="Pequena mudança local"/>
    <x v="1"/>
    <x v="557"/>
    <x v="0"/>
    <d v="2026-07-06T17:37:26"/>
    <m/>
    <s v="APROVADORES DE IDEIAS"/>
    <m/>
    <s v="Aguardando material "/>
    <x v="1"/>
    <m/>
  </r>
  <r>
    <s v="FB0158199"/>
    <s v="redução de descarte da peneira rotativa "/>
    <x v="3"/>
    <s v="Ao realizar a atividade de limpeza das peneiras rotativas, tem descartado muito café bom porque a rota está cheia de café,sugiro que antes de finalizar a produção do 3º turno na quarta feira seja realizado a limpeza da rota conforme é feito no sábado no 2º turno"/>
    <s v="Ilbert Caetano"/>
    <s v="Pequena mudança local"/>
    <x v="7"/>
    <x v="558"/>
    <x v="0"/>
    <d v="2026-07-14T12:39:18"/>
    <m/>
    <s v="APROVADORES DE IDEIAS"/>
    <m/>
    <s v="Aguardando Execução "/>
    <x v="0"/>
    <m/>
  </r>
  <r>
    <s v="FB0158899"/>
    <s v="Modificação do ponto de bloqueio da encaixotadora"/>
    <x v="2"/>
    <s v="realizar confeção de um suporte e furo na manopla do registro de ar comprimido do ponto de bloqueio pneumatico 2 para que nao seja necessario a utilização da peça auxiliar de bloqeuio pneumatico"/>
    <s v="Arthur Silva"/>
    <s v="Pequena mudança local"/>
    <x v="1"/>
    <x v="559"/>
    <x v="1"/>
    <d v="2026-08-03T11:23:43"/>
    <m/>
    <s v="APROVADORES DE IDEIAS"/>
    <m/>
    <s v="Resolvido"/>
    <x v="1"/>
    <m/>
  </r>
  <r>
    <s v="FB0159434"/>
    <s v=" Criar tubulação para aspirador de po acima dos silos do cafe cru"/>
    <x v="3"/>
    <s v="ideia de: Wallace e Arthur_x000a_Ideia consiste em criar uma tubulação de pvc com conexão para mangueira do aspirador com intuito de facilitar a limpeza do pó acima dos silos do cafe cru._x000a__x000a_SHE: Aprovado._x000a_QUALIDADE: Aprovado."/>
    <s v="Arthur Silva"/>
    <s v="Pequena mudança local"/>
    <x v="0"/>
    <x v="560"/>
    <x v="42"/>
    <d v="2026-09-15T08:55:26"/>
    <m/>
    <s v="APROVADORES DE IDEIAS"/>
    <m/>
    <s v="Rascunho"/>
    <x v="1"/>
    <m/>
  </r>
  <r>
    <s v="FB0159593"/>
    <s v="Confecção e instalação de um tubo para aspiração do fosso do cafe cru"/>
    <x v="3"/>
    <s v="Ideia de: Wallace e Arthur _x000a_Consiste em colocar um tubo de pvc descendo para dentro do fosso para engate de mangueira de aspirador para facilitar a limpeza do local"/>
    <s v="Arthur Silva"/>
    <s v="Pequena mudança local"/>
    <x v="0"/>
    <x v="561"/>
    <x v="43"/>
    <d v="2026-09-15T08:54:22"/>
    <m/>
    <s v="APROVADORES DE IDEIAS"/>
    <m/>
    <s v="Rascunho"/>
    <x v="1"/>
    <m/>
  </r>
  <r>
    <s v="FB0159911"/>
    <s v="Led Bomba PKD"/>
    <x v="4"/>
    <s v="Instalação de 3 led para indicar que as Bombas estão ligadas "/>
    <s v="Wallace Pereira"/>
    <s v="Pequena mudança local"/>
    <x v="6"/>
    <x v="562"/>
    <x v="1"/>
    <d v="2026-07-23T17:41:05"/>
    <m/>
    <s v="APROVADORES DE IDEIAS"/>
    <m/>
    <s v="Rascunho"/>
    <x v="1"/>
    <m/>
  </r>
  <r>
    <s v="FB0159914"/>
    <s v="Tomada nos motores das peliculas e cinza "/>
    <x v="4"/>
    <s v="Realizado instalação de plugs nos motores para facilitar manutenção mecânica, gerando ganho de MO e tempo de execução da atividade. _x000a__x000a_SHE: Deixar em standby - Precisamos analisar com calma. Temos riscos quanto ao LOTOTO para esta melhoria"/>
    <s v="Wallace Pereira"/>
    <s v="Pequena mudança local"/>
    <x v="2"/>
    <x v="563"/>
    <x v="39"/>
    <d v="2026-09-15T09:19:55"/>
    <m/>
    <s v="APROVADORES DE IDEIAS"/>
    <m/>
    <s v="Rascunho"/>
    <x v="1"/>
    <m/>
  </r>
  <r>
    <s v="FB0159929"/>
    <s v="eliminar ponto de bloqueio de ar 1 na pkd"/>
    <x v="4"/>
    <s v="eliminar ponto de bloqueio de ar 1 na pkd, _x000a_A ideia consiste na eliminação da necessidade de bloqueio, pois os pontos 1 e 2 são redundantes, os dois pontos bloqueiam os mesmos pontos_x000a__x000a_SHE terá que atualizar o quadro de bloqueio retirando o ponto do quadro e assim facilitar a visualização "/>
    <s v="Arthur Silva"/>
    <s v="Pequena mudança local"/>
    <x v="1"/>
    <x v="564"/>
    <x v="1"/>
    <d v="2026-07-23T20:15:59"/>
    <m/>
    <s v="APROVADORES DE IDEIAS"/>
    <m/>
    <s v="Rascunho"/>
    <x v="1"/>
    <m/>
  </r>
  <r>
    <s v="FB0160019"/>
    <s v="trocar as fechadura das peneiras 1e 2 "/>
    <x v="4"/>
    <s v="Trocar as fechaduras das peneira 01 e peneira 02 e ficar igual a da peneira 03 "/>
    <s v="Ilbert Caetano"/>
    <s v="Pequena mudança local"/>
    <x v="9"/>
    <x v="565"/>
    <x v="0"/>
    <d v="2026-07-24T11:43:30"/>
    <m/>
    <s v="APROVADORES DE IDEIAS"/>
    <m/>
    <s v="Rascunho"/>
    <x v="0"/>
    <m/>
  </r>
  <r>
    <s v="FB0160124"/>
    <s v="Cross-functional Job Shadowing - OPERAÇÃO"/>
    <x v="0"/>
    <s v="Algumas pessoas da operação tem vontade de passar para área administrativa, uns estão estudando e buscando uma oportunidade, outros tem uma visão de que é um trabalho confortável, sem entender a responsabilidade/peso de cada cadeira. Seria interessante se pudessem passar um dia com a área que eles tem vontade de trabalhar futuramente, para conhecer e entender se é realmente o que gostariam e assim a gente também ter a oportunidade de mostrar, que por trás de cada notebook tem muito trabalho envolvido e que não é tão simples e fácil quanto parece ser. E também podemos mostrar o impacto que o trabalho da operação, tem pra nós administrativo, o quanto são importantes. _x000a__x000a_Para o time administrativo isso é mais simples, podemos fazer mentoria com outras áreas, somos desenvolvidos pela liderança, para a operação isso não acontece da mesma forma. _x000a__x000a_Poderiam criar um programa e os associados interessados fazem o cadastro para conhecer as áreas, talvez ser um plus para o programa de capacitação da operação, tipo um &quot;passaporte de conexões&quot;. "/>
    <s v="Aline Fernandes"/>
    <s v="Pequena mudança local"/>
    <x v="0"/>
    <x v="566"/>
    <x v="20"/>
    <d v="2026-07-28T11:31:38"/>
    <m/>
    <s v="APROVADORES DE IDEIAS"/>
    <d v="2026-07-28T11:31:38"/>
    <s v="Cancelado"/>
    <x v="1"/>
    <m/>
  </r>
  <r>
    <s v="FB0160471"/>
    <s v="USO ESTRATÉGICO DO DMOS"/>
    <x v="4"/>
    <s v="Mensalmente, enviamos diversos BOSS E BOSQ através do DMOS, como parte da nossa meta e também para exercer nosso papel enquanto colaborador empenhado com o valor seja dono. Porém, essas informações, não são utilizadas de forma estratégica a fim de entender os problemas e trabalhar para conscientização e resolução dos problemas identificados etiquetas. "/>
    <s v="Weverton Rodrigues"/>
    <s v="Pequena mudança local"/>
    <x v="9"/>
    <x v="567"/>
    <x v="38"/>
    <d v="2026-09-17T17:58:51"/>
    <m/>
    <s v="APROVADORES DE IDEIAS"/>
    <m/>
    <s v="Rascunho"/>
    <x v="1"/>
    <m/>
  </r>
  <r>
    <s v="FB0160773"/>
    <s v="DEFLETOR - AR CONDICIONADO"/>
    <x v="2"/>
    <s v="Instalar um defletor no ar condicionado do almoxarifado, a ventilação bate diretamente nas pessoas e gera incomodo. "/>
    <s v="Aline Fernandes"/>
    <s v="Pequena mudança local"/>
    <x v="0"/>
    <x v="568"/>
    <x v="20"/>
    <d v="2026-08-17T10:41:25"/>
    <m/>
    <s v="APROVADORES DE IDEIAS"/>
    <m/>
    <s v="Resolvido"/>
    <x v="1"/>
    <m/>
  </r>
  <r>
    <s v="FB0160774"/>
    <s v="Grade de Proteção nas laterais dos magazines "/>
    <x v="3"/>
    <s v="Grade de proteção para as laterais dos magazines é os vãos na retirada dos paletes das fabrimas,diminuindo o risco de pessoas passar nos vãos e gerar um acidente com o robô em funcionamento."/>
    <s v="Fabio S Santos"/>
    <s v="Pequena mudança local"/>
    <x v="1"/>
    <x v="569"/>
    <x v="0"/>
    <d v="2026-07-30T14:56:08"/>
    <m/>
    <s v="APROVADORES DE IDEIAS"/>
    <m/>
    <s v="Aguardando Orçamento"/>
    <x v="0"/>
    <m/>
  </r>
  <r>
    <s v="FB0160775"/>
    <s v="instalação de escada área logística "/>
    <x v="2"/>
    <s v="Escada instalada na área logística para eliminar o risco de atropelamento ."/>
    <s v="Fabio S Santos"/>
    <s v="Pequena mudança local"/>
    <x v="0"/>
    <x v="570"/>
    <x v="44"/>
    <d v="2026-09-04T11:35:47"/>
    <m/>
    <s v="APROVADORES DE IDEIAS"/>
    <m/>
    <s v="Resolvido"/>
    <x v="0"/>
    <m/>
  </r>
  <r>
    <s v="FB0161007"/>
    <s v="melhoria no ponto de bloqueio de ar comprimido da esteira alpino"/>
    <x v="2"/>
    <s v="realizar a confecção de um suporte para que não seja necessario usar uma peça a mais na hora do bloqueio apenas o cadeado"/>
    <s v="Arthur Silva"/>
    <s v="Pequena mudança local"/>
    <x v="1"/>
    <x v="571"/>
    <x v="1"/>
    <d v="2026-08-03T11:24:46"/>
    <m/>
    <s v="APROVADORES DE IDEIAS"/>
    <m/>
    <s v="Resolvido"/>
    <x v="1"/>
    <m/>
  </r>
  <r>
    <s v="FB0161515"/>
    <s v="Adicionar no CIL mensal - Limpeza plataforma do Nederman+bombas de vácuo"/>
    <x v="3"/>
    <s v="Conforme saída de auditoria de BPF, adicionar ponto de limpeza da plataforma Nederman+bombas de vácuo no CIL mensal. "/>
    <s v="Giovanna Biffaratte"/>
    <s v="Pequena mudança local"/>
    <x v="4"/>
    <x v="572"/>
    <x v="1"/>
    <d v="2026-09-01T12:05:02"/>
    <s v="Valeria Yanez"/>
    <s v="APROVADORES DE IDEIAS"/>
    <m/>
    <s v="Aguardando Execução "/>
    <x v="1"/>
    <m/>
  </r>
  <r>
    <s v="FB0161518"/>
    <s v="Adicionar no CIL mensal - Limpeza plataforma do Detector de metais PKD + Rosca "/>
    <x v="3"/>
    <s v="Conforme saída de auditoria de BPF, adicionar ponto de limpeza da plataforma do Detector de metais PKD + Rosca no CIL mensal. "/>
    <s v="Giovanna Biffaratte"/>
    <s v="Pequena mudança local"/>
    <x v="0"/>
    <x v="573"/>
    <x v="1"/>
    <d v="2026-09-01T12:04:50"/>
    <s v="Valeria Yanez"/>
    <s v="APROVADORES DE IDEIAS"/>
    <m/>
    <s v="Aguardando Execução "/>
    <x v="1"/>
    <m/>
  </r>
  <r>
    <s v="FB0161549"/>
    <s v="farol sinalizador "/>
    <x v="4"/>
    <s v="Sinalizador de passagem de veículos, sinalizar aos pedestres que a passagem de veículos pesados para aumentar a atenção de todos._x000a__x000a_SHE: Aprovado."/>
    <s v="Fabio S Santos"/>
    <s v="Pequena mudança local"/>
    <x v="1"/>
    <x v="574"/>
    <x v="44"/>
    <d v="2026-08-17T09:10:07"/>
    <m/>
    <s v="APROVADORES DE IDEIAS"/>
    <m/>
    <s v="Rascunho"/>
    <x v="0"/>
    <m/>
  </r>
  <r>
    <s v="FB0161711"/>
    <s v="REGISTROS ON-TIME PARA PROBLEMAS NO PONTO"/>
    <x v="2"/>
    <s v="Essa ideia parte de um problema, relacionado ao mal funcionamento pontual. A expectativa, é que quando houver problemas com o batimento, o colaborador reporta através de um QR code, fixado próximo ao ponto. Executei um Power Automate teste e funcionou muito bem para extrair as informações do FORMS e encaminhar via e-mail, para partes interessadas. Imagino que a articulação principal, seja com gestores para entender possíveis evoluções e problemas que possam surgir a respeito."/>
    <s v="Weverton Rodrigues"/>
    <s v="Pequena mudança local"/>
    <x v="0"/>
    <x v="575"/>
    <x v="38"/>
    <d v="2026-09-01T10:41:47"/>
    <s v="Weverton Rodrigues"/>
    <s v="APROVADORES DE IDEIAS"/>
    <m/>
    <s v="Resolvido"/>
    <x v="1"/>
    <m/>
  </r>
  <r>
    <s v="FB0162160"/>
    <s v="placa para informação "/>
    <x v="4"/>
    <s v="Placa para visualização de qual lado colocar a etiqueta no palete Strechadeira na carga para não locar a etiqueta e vertida ,Asegurando assertividade operacional "/>
    <s v="Fabio S Santos"/>
    <s v="Pequena mudança local"/>
    <x v="9"/>
    <x v="576"/>
    <x v="10"/>
    <d v="2026-08-10T13:17:59"/>
    <m/>
    <s v="APROVADORES DE IDEIAS"/>
    <m/>
    <s v="Rascunho"/>
    <x v="0"/>
    <m/>
  </r>
  <r>
    <s v="FB0162195"/>
    <s v="melhoria para o mop"/>
    <x v="4"/>
    <s v="Ter opção de mostrar paradas não planejadas separadas _x000a_Quantidade de paradas do robô e quantidade de parada da fabrima_x000a_Pra ajudar no fechamento de relatórios "/>
    <s v="Ruth Fonseca"/>
    <s v="Pequena mudança local"/>
    <x v="9"/>
    <x v="577"/>
    <x v="19"/>
    <d v="2026-08-11T00:07:52"/>
    <m/>
    <s v="APROVADORES DE IDEIAS"/>
    <m/>
    <s v="Rascunho"/>
    <x v="0"/>
    <m/>
  </r>
  <r>
    <s v="FB0162196"/>
    <s v="melhoria pro mop"/>
    <x v="4"/>
    <s v="Pra ter mais praticidade ,poderia ser colocado o reprocesso junto com a função de fechamento de relatório._x000a_Ai quanto colocasse a função de fechamento dê relatório, aparecesse junto a função de reprocesso ._x000a_Facilitando fechamento de relatórios e ajudando a parar de ficar avisando o próximo turno sobre o lançamento do reprocesso.( se um turno não lança, fica aparecendo que não foi lançado no próximo turno)"/>
    <s v="Ruth Fonseca"/>
    <s v="Pequena mudança local"/>
    <x v="9"/>
    <x v="578"/>
    <x v="19"/>
    <d v="2026-08-11T00:15:19"/>
    <m/>
    <s v="APROVADORES DE IDEIAS"/>
    <m/>
    <s v="Rascunho"/>
    <x v="0"/>
    <m/>
  </r>
  <r>
    <s v="FB0162303"/>
    <s v="FLUXO DE REGISTRO ONBOARDING"/>
    <x v="2"/>
    <s v="Existem processos no onboarding que precisam ser analisados, em decorrência de um problema relatado pela gestora Michelle, com a dificuldade para auxiliar em uma emergência que teve na planta, devido a falta de visibilidade do número do cartão da UNIMED e um número de emergência de algum familiar, para situações necessárias._x000a__x000a_Pensando nisso, a ideia, é incluir no próprio momento inicial de onboarding (Seg de 08 ás 10h), um momento para leitura do qr-code e preenchimento das informações de emergência como: Nome e contato de emergência, número da carteirinha do Unimed CNU. Esse qr-code também gera via Power Automate, uma pendência de 30 dias para acompanhamento da entrega do crachá efetivo. "/>
    <s v="Weverton Rodrigues"/>
    <s v="Pequena mudança local"/>
    <x v="0"/>
    <x v="579"/>
    <x v="38"/>
    <d v="2026-09-01T10:42:17"/>
    <s v="Weverton Rodrigues"/>
    <s v="APROVADORES DE IDEIAS"/>
    <m/>
    <s v="Resolvido"/>
    <x v="1"/>
    <m/>
  </r>
  <r>
    <s v="FB0162312"/>
    <s v="AUXILIO COM BENEFÍCIOS"/>
    <x v="3"/>
    <s v="Essa ideia surge de um problema com time entre a chegada do colaborador e seu acesso aos benefícios. Pensando nisso, verifiquei com o time, se seria possível a inclusão do ID 1 e 2 no próprio crachá provisório, garantindo que tenham acesso ás informações necessárias para acessar o BENEFLEX, bater o ponto e adquirir cafés com desconto em folha. A ideia é que ainda no primeiro dia, os colaboradores incluam os dependentes e atribuam os grãos de acordo com o que preferirem._x000a__x000a_Verifiquei que seria possível por exemplo, incluindo a portaria em cópia ao e-mail de onboarding, que contem a lista de novos associados. "/>
    <s v="Weverton Rodrigues"/>
    <s v="Pequena mudança local"/>
    <x v="0"/>
    <x v="580"/>
    <x v="38"/>
    <d v="2026-08-17T10:47:18"/>
    <s v="Weverton Rodrigues"/>
    <s v="APROVADORES DE IDEIAS"/>
    <m/>
    <s v="Aguardando Execução "/>
    <x v="1"/>
    <m/>
  </r>
  <r>
    <s v="FB0162334"/>
    <s v="datador Fabrima 5"/>
    <x v="4"/>
    <s v="Na área de selecionar trabalho  da frabrima 5 tem várias predominâncias , que já não são mais usados, hoje só usamos 4 predominantes, realizar a retirada desses que não são mais usados , para garantir uma troca com segurança , evitar erros e retrabalho ou até mesmo impactos maiores  "/>
    <s v="Angela Santos"/>
    <s v="Pequena mudança local"/>
    <x v="9"/>
    <x v="581"/>
    <x v="7"/>
    <d v="2026-08-11T11:44:17"/>
    <m/>
    <s v="APROVADORES DE IDEIAS"/>
    <m/>
    <s v="Rascunho"/>
    <x v="0"/>
    <m/>
  </r>
  <r>
    <s v="FB0162502"/>
    <s v="embalagem fora do sacos"/>
    <x v="4"/>
    <s v="Fazer o descarte de maneira correta nas gaiolas. Fica  um ambiente mas organizado e agradável para receber visitas ou quem quer que seja."/>
    <s v="Romilda Cunha"/>
    <s v="Pequena mudança local"/>
    <x v="9"/>
    <x v="582"/>
    <x v="20"/>
    <d v="2026-08-12T17:29:20"/>
    <m/>
    <s v="APROVADORES DE IDEIAS"/>
    <m/>
    <s v="Rascunho"/>
    <x v="0"/>
    <m/>
  </r>
  <r>
    <s v="FB0162645"/>
    <s v="melhoria na  área das Strechadeira "/>
    <x v="4"/>
    <s v="Troca de peças quebráveis por de metais "/>
    <s v="Fabio S Santos"/>
    <s v="Pequena mudança local"/>
    <x v="9"/>
    <x v="583"/>
    <x v="10"/>
    <d v="2026-08-13T17:24:02"/>
    <m/>
    <s v="APROVADORES DE IDEIAS"/>
    <m/>
    <s v="Rascunho"/>
    <x v="0"/>
    <m/>
  </r>
  <r>
    <s v="FB0163066"/>
    <s v="Válvula coleiro "/>
    <x v="4"/>
    <s v="Realizado a substituição da válvula da acionamento da cola, por uma deslocada do conjunto da pistola de aplicação de cola."/>
    <s v="Wallace Pereira"/>
    <s v="Pequena mudança local"/>
    <x v="9"/>
    <x v="584"/>
    <x v="23"/>
    <d v="2026-08-17T21:04:50"/>
    <m/>
    <s v="APROVADORES DE IDEIAS"/>
    <m/>
    <s v="Rascunho"/>
    <x v="1"/>
    <m/>
  </r>
  <r>
    <s v="FB0163763"/>
    <s v="colocar fita refletiva"/>
    <x v="4"/>
    <s v="Colocar fita refletiva na área da logística para mais visibilidade onde a área no período noturno fica menos visíveis ._x000a_Para assim diminuir o risco de colisão com a grade._x000a__x000a__x000a_Ideia elaborada por Magno Geraldo "/>
    <s v="Fabio S Santos"/>
    <s v="Pequena mudança local"/>
    <x v="9"/>
    <x v="585"/>
    <x v="5"/>
    <d v="2026-08-22T12:59:08"/>
    <m/>
    <s v="APROVADORES DE IDEIAS"/>
    <m/>
    <s v="Rascunho"/>
    <x v="0"/>
    <m/>
  </r>
  <r>
    <s v="FB0164027"/>
    <s v="Mangueira do Rejeito"/>
    <x v="4"/>
    <s v="Trica da mangueira do rejeito da peneira 2, a mangueira que está não tem flexibilidade na hora da troca dos baldes, dificultando a troca dos baldes e retirada da tampa, causando sujidades na hora da troca. Recomendo uma mangueira com flexibilidade melhor, como a dos rejeitos da peneira 1 e 3 "/>
    <s v="Rafael Santos"/>
    <s v="Pequena mudança local"/>
    <x v="9"/>
    <x v="586"/>
    <x v="19"/>
    <d v="2026-08-24T20:49:58"/>
    <m/>
    <s v="APROVADORES DE IDEIAS"/>
    <m/>
    <s v="Rascunho"/>
    <x v="0"/>
    <m/>
  </r>
  <r>
    <s v="FB0164176"/>
    <s v="Motores auxiliares para girar eixo com pá dos torradores"/>
    <x v="4"/>
    <s v="A ideia é ter motores a parte da operação normal do torradores para que em caso de falhas do torrador, apagão dos paineis de controle, quedas de energia, etc, os motores seja acionados paralelamente para girar os eixos com pás, energia dos torradores fornecida por geradores de energia. Horas o problema é ausencia das manivelas e horas é o peso em girar a manivela porque o café encharcado é muito pesado. "/>
    <s v="Tiago Carvalho"/>
    <s v="Pequena mudança local"/>
    <x v="1"/>
    <x v="587"/>
    <x v="2"/>
    <d v="2026-08-25T13:46:13"/>
    <m/>
    <s v="APROVADORES DE IDEIAS"/>
    <m/>
    <s v="Rascunho"/>
    <x v="1"/>
    <m/>
  </r>
  <r>
    <s v="FB0164195"/>
    <s v="refletores na área de revisão de paletes"/>
    <x v="4"/>
    <s v="Falta de iluminação para os colaboradores fazer a verificação dos paletes estourados, com isso o trabalho às vezes tem que ser refeito mais de uma vez ."/>
    <s v="Fabio S Santos"/>
    <s v="Pequena mudança local"/>
    <x v="9"/>
    <x v="588"/>
    <x v="20"/>
    <d v="2026-08-25T17:55:58"/>
    <m/>
    <s v="APROVADORES DE IDEIAS"/>
    <m/>
    <s v="CANCELAR IDEIA REPETIDA"/>
    <x v="0"/>
    <m/>
  </r>
  <r>
    <s v="FB0164305"/>
    <s v="instalação de lâmpada no almoxarifado de inflamáveis"/>
    <x v="3"/>
    <s v="No turno da noite se torna impossível a retirada de materiais devido a baixa luminosidade. Solicito a instalação de uma lâmpada no interior do depósito ou de fora um refletor direcionado."/>
    <s v="Bruno Resende"/>
    <s v="Pequena mudança local"/>
    <x v="0"/>
    <x v="589"/>
    <x v="20"/>
    <d v="2026-09-01T12:00:50"/>
    <m/>
    <s v="APROVADORES DE IDEIAS"/>
    <m/>
    <s v="Rascunho"/>
    <x v="0"/>
    <m/>
  </r>
  <r>
    <s v="FB0164338"/>
    <s v="Área de descarte "/>
    <x v="4"/>
    <s v="Colocar um suporte para  pá e uma vassoura na área de descarte, para facilitar a limpeza do local e fica sempre organizado "/>
    <s v="Karina Silva"/>
    <s v="Pequena mudança local"/>
    <x v="9"/>
    <x v="590"/>
    <x v="1"/>
    <d v="2026-08-26T15:14:20"/>
    <m/>
    <s v="APROVADORES DE IDEIAS"/>
    <m/>
    <s v="Aguardando Execução "/>
    <x v="0"/>
    <m/>
  </r>
  <r>
    <s v="FB0164899"/>
    <s v="indentificar o tamanho do uniforme  do combate ao inserido e das botas "/>
    <x v="3"/>
    <s v="Mais prático para o brigadista utilizar o uniforme com mais clareza e rapidez ,ao necessitar utilizar se ouvir insedio "/>
    <s v="Thais Souza"/>
    <s v="Pequena mudança local"/>
    <x v="0"/>
    <x v="591"/>
    <x v="5"/>
    <d v="2026-09-09T14:55:11"/>
    <m/>
    <s v="APROVADORES DE IDEIAS"/>
    <m/>
    <s v="Aguardando Validação"/>
    <x v="0"/>
    <m/>
  </r>
  <r>
    <s v="FB0164908"/>
    <s v="SENSORES DE PRESENÇA"/>
    <x v="3"/>
    <s v="Instalação de sensores de presença nas salas de reunião,para automatizar o desligamento da iluminação e ar condicionado. "/>
    <s v="Aline Fernandes"/>
    <s v="Pequena mudança local"/>
    <x v="4"/>
    <x v="592"/>
    <x v="20"/>
    <d v="2026-08-31T19:01:34"/>
    <m/>
    <s v="APROVADORES DE IDEIAS"/>
    <m/>
    <s v="Cancelado"/>
    <x v="1"/>
    <m/>
  </r>
  <r>
    <s v="FB0165012"/>
    <s v="instalação de lâmpada no almoxarifado de inflamáveis"/>
    <x v="0"/>
    <s v="No turno da noite se torna impossível a retirada de materiais devido a baixa luminosidade. Solicito a instalação de uma lâmpada no interior do depósito ou de fora um refletor direcionado."/>
    <s v="Bruno Resende"/>
    <s v="Pequena mudança local"/>
    <x v="1"/>
    <x v="593"/>
    <x v="20"/>
    <d v="2026-09-01T11:57:50"/>
    <m/>
    <s v="APROVADORES DE IDEIAS"/>
    <d v="2026-09-01T11:57:50"/>
    <s v="Rascunho"/>
    <x v="0"/>
    <m/>
  </r>
  <r>
    <s v="FB0165510"/>
    <s v="Manivelas com cabo maior para eixo com pás dos torradores 1,2 e 3"/>
    <x v="4"/>
    <s v="Manivelas com cabo maior para melhor atuação em caso de emergência nos torradores, pois as atuais possuem um cabo curto, sendo assim durante o giro dos eixos com pás é necessário uma enorme quantidade de força para gerar o movimento de giro dos motores, principalmente quando há café encharcado."/>
    <s v="Vinicius De Oliveira"/>
    <s v="Pequena mudança local"/>
    <x v="9"/>
    <x v="594"/>
    <x v="2"/>
    <d v="2026-09-04T05:27:44"/>
    <m/>
    <s v="APROVADORES DE IDEIAS"/>
    <m/>
    <s v="Rascunho"/>
    <x v="0"/>
    <m/>
  </r>
  <r>
    <s v="FB0165581"/>
    <s v="Aplicativo para registro de paradas torradores"/>
    <x v="2"/>
    <s v="Desenvolvimento de um aplicativo para tornar o apontamento de paradas mais dinâmico e eficiente, com integração automática à Árvore de Perdas. A solução elimina a necessidade de registros em papel e reduz atividades manuais, evitando o processo de copiar e colar informações, garantindo maior agilidade, precisão e confiabilidade dos dados._x000a_Participantes: Moises e Flávia "/>
    <s v="Moises Costa"/>
    <s v="Pequena mudança local"/>
    <x v="10"/>
    <x v="595"/>
    <x v="20"/>
    <d v="2026-09-18T09:36:54"/>
    <m/>
    <s v="APROVADORES DE IDEIAS"/>
    <m/>
    <s v="Resolvido"/>
    <x v="0"/>
    <m/>
  </r>
  <r>
    <s v="FB0165582"/>
    <s v="App para CIL"/>
    <x v="2"/>
    <s v="Desenvolvimento de um aplicativo para o CIL que disponibilize digitalmente todas as informações de cada ponto de controle, proporcionando maior eficiência operacional. A solução elimina a necessidade de utilização de papel para impressão, agiliza a conferência dos dados e disponibiliza as informações em tempo real. Além disso, facilita a validação das atividades realizadas, aumenta a confiabilidade dos registros e reduz a carga de trabalho da equipe, uma vez que atualmente existe uma pessoa dedicada exclusivamente a realizar esses apontamentos manualmente._x000a_Participantes: Moises e Flávia "/>
    <s v="Moises Costa"/>
    <s v="Pequena mudança local"/>
    <x v="10"/>
    <x v="596"/>
    <x v="20"/>
    <d v="2026-09-18T09:37:54"/>
    <m/>
    <s v="APROVADORES DE IDEIAS"/>
    <m/>
    <s v="Aguardando Execução "/>
    <x v="0"/>
    <m/>
  </r>
  <r>
    <s v="FB0165583"/>
    <s v="Micro nas portas das câmaras dos torradores "/>
    <x v="4"/>
    <s v="Instalação de micro de segurança nas portas das câmaras de torra e resfriamento dos torradores, impedindo o início da operação quando qualquer porta estiver aberta."/>
    <s v="Moises Costa"/>
    <s v="Pequena mudança local"/>
    <x v="9"/>
    <x v="597"/>
    <x v="2"/>
    <d v="2026-09-04T15:54:40"/>
    <m/>
    <s v="APROVADORES DE IDEIAS"/>
    <m/>
    <s v="Rascunho"/>
    <x v="0"/>
    <m/>
  </r>
  <r>
    <s v="FB0166084"/>
    <s v="Limpeza do sensor de chama TD03"/>
    <x v="2"/>
    <s v="Incluir no plano da manutenção a limpeza do sensor de chama do torrador 03"/>
    <s v="Flavia Silveira"/>
    <s v="Pequena mudança local"/>
    <x v="2"/>
    <x v="598"/>
    <x v="20"/>
    <d v="2026-09-08T13:59:17"/>
    <m/>
    <s v="APROVADORES DE IDEIAS"/>
    <m/>
    <s v="Rascunho"/>
    <x v="1"/>
    <m/>
  </r>
  <r>
    <s v="FB0166284"/>
    <s v="Criar um APP para execução do CIL "/>
    <x v="2"/>
    <s v="Desenvolvimento de um aplicativo para digitalizar e padronizar a execução do CIL, substituindo controles manuais e planilhas por uma ferramenta prática e de fácil utilização."/>
    <s v="Flavia Silveira"/>
    <s v="Pequena mudança local"/>
    <x v="0"/>
    <x v="599"/>
    <x v="20"/>
    <d v="2026-09-17T10:01:23"/>
    <m/>
    <s v="APROVADORES DE IDEIAS"/>
    <m/>
    <s v="Rascunho"/>
    <x v="1"/>
    <m/>
  </r>
  <r>
    <s v="FB0166449"/>
    <s v="FAIXA DE PEDESTRES - LOGÍSTICA"/>
    <x v="3"/>
    <s v="Não existe uma faixa de pedestres no &quot;caminho da logística&quot;, que é usado geralmente em dias de chuva de forma alternativa."/>
    <s v="Weverton Rodrigues"/>
    <s v="Pequena mudança local"/>
    <x v="1"/>
    <x v="600"/>
    <x v="38"/>
    <d v="2026-09-17T17:56:36"/>
    <m/>
    <s v="APROVADORES DE IDEIAS"/>
    <m/>
    <s v="Rascunho"/>
    <x v="1"/>
    <m/>
  </r>
  <r>
    <s v="FB0167262"/>
    <s v="suporte de fita para trocar a bobina da raumak 2"/>
    <x v="4"/>
    <s v="Quando vai fazer a troca de bobina temos que pegar o colador e passar a fita colando uma bobina na outra,se tivesse um suporte na máquina para já deixar fixo uma fita onde já tem um imã na chapa ,facilitaria o operador na hora da troca ,diminuindo o tempo e sendo mais prático."/>
    <s v="Lara Resende"/>
    <s v="Pequena mudança local"/>
    <x v="4"/>
    <x v="601"/>
    <x v="19"/>
    <d v="2026-09-17T18:01:46"/>
    <s v="Izabela Pugliesi"/>
    <s v="APROVADORES DE IDEIAS"/>
    <m/>
    <s v="Rascunho"/>
    <x v="0"/>
    <m/>
  </r>
  <r>
    <s v="FB0167269"/>
    <s v="Criação de suporte para cabos dos sensores das valvulas de pelicula do torrador 1"/>
    <x v="4"/>
    <s v="Wallace e Arthur_x000a_A ideia consiste na criação de um suporte guia para que os cabos nao encostem nas superficies quentes e venham a derreter gerando falha no torrador "/>
    <s v="Arthur Silva"/>
    <s v="Pequena mudança local"/>
    <x v="4"/>
    <x v="602"/>
    <x v="2"/>
    <d v="2026-09-16T20:17:36"/>
    <m/>
    <s v="APROVADORES DE IDEIAS"/>
    <m/>
    <s v="Rascunho"/>
    <x v="1"/>
    <m/>
  </r>
  <r>
    <s v="FB0167270"/>
    <s v="Criação de suporte para cabos dos sensores das valvulas de pelicula do torrador 2"/>
    <x v="4"/>
    <s v="Wallace e Arthur_x000a_A ideia consiste na criação de um suporte guia para que os cabos nao encostem nas superficies quentes e venham a derreter gerando falha no torrador "/>
    <s v="Arthur Silva"/>
    <s v="Pequena mudança local"/>
    <x v="4"/>
    <x v="603"/>
    <x v="2"/>
    <d v="2026-09-16T20:19:30"/>
    <m/>
    <s v="APROVADORES DE IDEIAS"/>
    <m/>
    <s v="Rascunho"/>
    <x v="1"/>
    <m/>
  </r>
  <r>
    <s v="FB0167540"/>
    <s v="Troca do visor da parte interna da câmara de torra por chapa inox "/>
    <x v="4"/>
    <s v="Atualmente nas câmaras de torra tem 2 visores de policarbonato, um na parte que fica visível para a passagem secreta e outro que fica internamente, sendo necessário abrir as portas do torrador para verificação. No entanto somente um visor na parte visível já é suficiente para acompanhar as torras em caso de quedas de energia, sendo o outro visor um risco a mais de peças críticas."/>
    <s v="Michelle Faria"/>
    <s v="Pequena mudança local"/>
    <x v="9"/>
    <x v="604"/>
    <x v="2"/>
    <d v="2026-09-18T09:26:09"/>
    <m/>
    <s v="APROVADORES DE IDEIAS"/>
    <m/>
    <s v="Rascunho"/>
    <x v="1"/>
    <m/>
  </r>
  <r>
    <s v="FB0167541"/>
    <s v="Película antiestilhaço nos visores de policarbonato "/>
    <x v="4"/>
    <s v="Aplicar película antiestilhaço nos visores dos torradores das câmaras de torra, esfriamento do Torrador 1 e 2  e cilindro de torra e esfriamento do Torrador 3 para que se houver algum rompimento não tenha riscos de ir fragmentos para o produto."/>
    <s v="Michelle Faria"/>
    <s v="Pequena mudança local"/>
    <x v="9"/>
    <x v="605"/>
    <x v="2"/>
    <d v="2026-09-18T09:39:09"/>
    <m/>
    <s v="APROVADORES DE IDEIAS"/>
    <m/>
    <s v="Rascunho"/>
    <x v="1"/>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r>
    <m/>
    <m/>
    <x v="5"/>
    <m/>
    <m/>
    <m/>
    <x v="9"/>
    <x v="606"/>
    <x v="45"/>
    <m/>
    <m/>
    <m/>
    <m/>
    <m/>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
  <r>
    <s v="FB0076323"/>
    <s v="Escada dando acesso aos Detectores de Metais"/>
    <s v="Cancelado"/>
    <s v="Uma Escada facilitando o acesso aos Detectores de Metais do lado da Fabrima 05"/>
    <x v="0"/>
    <s v="Pequena mudança local"/>
    <s v="Organisation of work"/>
    <x v="0"/>
    <s v="04. EMPACOTAMENTO"/>
    <d v="2024-09-17T15:40:38"/>
    <m/>
    <s v="APROVADORES DE IDEIAS"/>
    <d v="2024-09-17T15:40:38"/>
    <s v="Cancelado"/>
    <s v="OPERAÇÃO"/>
  </r>
  <r>
    <s v="FB0076530"/>
    <s v="Isolamento do Vão da Escada Mesanino PKD "/>
    <s v="Fechado"/>
    <s v="Devido ao no leaut dos contêiner foi necessário retirar um móvel que havia debaixo do vão da escada ficando um local aberto possibilitando a passagem por baixo da escada em um ponto onde existe a possibilidade de colisão com o rosto ou cabeça._x000a_Devido. a necessidade de isolamento podemos aproveitar essa espaço com um armário um com suporte para um bebedouro, e a guarda de utensílios."/>
    <x v="1"/>
    <s v="Pequena mudança local"/>
    <s v="Safety - Health"/>
    <x v="1"/>
    <s v="01. LINHA 01"/>
    <d v="2025-07-01T10:22:21"/>
    <s v="Bianca Silva"/>
    <s v="IDEIAS-VACUO"/>
    <d v="2025-07-01T10:22:21"/>
    <s v="Fechado"/>
    <s v="OPERAÇÃO"/>
  </r>
  <r>
    <s v="FB0076596"/>
    <s v="Avaliar relatório de inspeção do ciclones de cinza e película se é pra inspecionar ou retira da folhas o formulários…"/>
    <s v="Resolvido"/>
    <s v="Hoje não e feito a inspeção de cinza e película do relatório(FRM-07-016) foi feito uma melhoria colocando sensor de presença na rosca atuando alarme no  supervisório quando a caçamba de película está cheia …. Sugiro que seja retirado esta página "/>
    <x v="2"/>
    <s v="Pequena mudança local"/>
    <s v="Processo"/>
    <x v="2"/>
    <s v="02. TORREFAÇÃO"/>
    <d v="2026-04-30T16:30:21"/>
    <s v="Tiago Carvalho"/>
    <s v="IDEIAS-PROCESSOS"/>
    <m/>
    <s v="Resolvido"/>
    <s v="OPERAÇÃO"/>
  </r>
  <r>
    <s v="FB0076597"/>
    <s v="moega de reprocesso e dosagem de café "/>
    <s v="Cancelado"/>
    <s v="Moega de reprocesso e dosagem e  um processo de melhorar e facilitar o reprocesso de café dos turnos agilizando toda etapa do café para seu devido silo de pó. Para esta melhoria seria utilizado algumas peças que estão obsoletas da linha de grãos e da extratora antiga."/>
    <x v="3"/>
    <s v="Pequena mudança local"/>
    <s v="Processo"/>
    <x v="3"/>
    <s v="03. MOAGEM"/>
    <d v="2026-04-28T13:35:01"/>
    <m/>
    <s v="IDEIAS-PROCESSOS"/>
    <d v="2026-04-28T13:35:01"/>
    <s v="Cancelado"/>
    <s v="OPERAÇÃO"/>
  </r>
  <r>
    <s v="FB0076655"/>
    <s v="mesa de pacotes para analise "/>
    <s v="Fechado"/>
    <s v="Realizar a confecção de um adesivo referente as numerações das câmaras de vácuo e colocar na mesa de recolhimento de pacotes para análise para posicionamento dos pacotes referente a cada câmara ._x000a_O adesivo deverá ser confeccionado com impressão da direita para esquerda para acompanhar a forma que pacote sai da roda de vácuo e com é retirado pelos operadores _x000a_Da seguinte forma de 1 a 4 de 5 a 8 é demais na sequencia  até finalizar  as 28 câmaras_x000a_Os pacotes são retirados de 4 a 4 por vez._x000a__x000a_Pedro Ferreira: Ideia realizada, porém, falta o operador colar os adesivos na mesa. _x000a_"/>
    <x v="1"/>
    <s v="Pequena mudança local"/>
    <s v="Qualidade"/>
    <x v="4"/>
    <s v="01. LINHA 01"/>
    <d v="2025-09-01T11:32:37"/>
    <s v="Bianca Silva"/>
    <s v="IDEIAS-VACUO"/>
    <d v="2025-09-01T11:32:37"/>
    <s v="Fechado"/>
    <s v="OPERAÇÃO"/>
  </r>
  <r>
    <s v="FB0076876"/>
    <s v="Claviculário almoxarifado "/>
    <s v="Fechado"/>
    <s v="Colocar claviculário com todas as chaves dos armários e portões do almoxarifado numeradas e em ordem, para restringir acesso aos materiais.   "/>
    <x v="4"/>
    <s v="Pequena mudança local"/>
    <s v="Organisation of work"/>
    <x v="5"/>
    <s v="09.1 ALMOXARIFADO"/>
    <d v="2024-08-19T13:30:17"/>
    <s v="Sarah Teixeira"/>
    <s v="IDEIAS-CAFÉ CRÚ"/>
    <d v="2024-08-19T13:30:17"/>
    <s v="Fechado"/>
    <s v="ADM/TÉCNICO/ASSISTENTE/ESTAG."/>
  </r>
  <r>
    <s v="FB0076877"/>
    <s v="Criação de Forms para registro de saídas de almoxarifado"/>
    <s v="Fechado"/>
    <s v="Criação de Forms para registro de saídas de almoxarifado, facilitando para quem precisa retirar materiais quando não tem almoxarife para fazer os registros. "/>
    <x v="4"/>
    <s v="Pequena mudança local"/>
    <s v="Organisation of work"/>
    <x v="6"/>
    <s v="09.1 ALMOXARIFADO"/>
    <d v="2024-08-23T14:59:41"/>
    <s v="Sarah Teixeira"/>
    <s v="IDEIAS-CAFÉ CRÚ"/>
    <d v="2024-08-23T14:59:41"/>
    <s v="Fechado"/>
    <s v="ADM/TÉCNICO/ASSISTENTE/ESTAG."/>
  </r>
  <r>
    <s v="FB0076880"/>
    <s v="Suporte para etiquetas de fardo"/>
    <s v="Fechado"/>
    <s v="Colocar um suporte para colocar as etiquetas dos fardos na parede do CQ, trazer as etiquetas para mais próximo ao almoxarifado e organizar melhor"/>
    <x v="4"/>
    <s v="Pequena mudança local"/>
    <s v="Organisation of work"/>
    <x v="7"/>
    <s v="09.1 ALMOXARIFADO"/>
    <d v="2024-12-13T15:07:33"/>
    <s v="Sarah Teixeira"/>
    <s v="IDEIAS-CAFÉ CRÚ"/>
    <d v="2024-12-13T15:07:33"/>
    <s v="Fechado"/>
    <s v="ADM/TÉCNICO/ASSISTENTE/ESTAG."/>
  </r>
  <r>
    <s v="FB0076937"/>
    <s v="Retornar com os Teclados e Mouse sem fio"/>
    <s v="Cancelado"/>
    <s v="Retornar Mouse e Teclados sem fio,para facilitar o uso sem precisar utilizar suporte para Mouse e não ocupar tanto espaço na mesa"/>
    <x v="0"/>
    <s v="Pequena mudança local"/>
    <s v="Organisation of work"/>
    <x v="8"/>
    <s v="04. LINHA 04"/>
    <d v="2025-04-22T16:02:52"/>
    <m/>
    <s v="APROVADORES DE IDEIAS"/>
    <d v="2025-04-22T16:02:52"/>
    <s v="Cancelado"/>
    <s v="OPERAÇÃO"/>
  </r>
  <r>
    <s v="FB0076944"/>
    <s v="Mola Aérea Para Fechamento De Portas Automática - Almoxarifado"/>
    <s v="Fechado"/>
    <s v="Colocar uma Mola Aérea Para Fechamento De Portas Automática nas portas do almoxarifado, o fluxo de mecânicos é muito grande e deixam a porta aberta ao sair, se fazendo necessário parar as atividades para fechar a porta. "/>
    <x v="4"/>
    <s v="Pequena mudança local"/>
    <s v="Safety - Health"/>
    <x v="9"/>
    <s v="09.1 ALMOXARIFADO"/>
    <d v="2024-08-27T14:37:00"/>
    <s v="Sarah Teixeira"/>
    <s v="IDEIAS-CAFÉ CRÚ"/>
    <d v="2024-08-27T14:37:00"/>
    <s v="Fechado"/>
    <s v="ADM/TÉCNICO/ASSISTENTE/ESTAG."/>
  </r>
  <r>
    <s v="FB0077045"/>
    <s v="aplicativo de RO"/>
    <s v="Resolvido"/>
    <s v="Colocar uma opção de fotografia no aplicativo de RO para melhor visualização da ocorrência, assim o reporte ficará mais claro pra as pessoas que irão conduzir uma RCA, trazendo uma transparência no que de fato ocorreu e agilidade na tratativa para que seja discutido em OPS."/>
    <x v="2"/>
    <s v="Pequena mudança local"/>
    <s v="Qualidade"/>
    <x v="10"/>
    <s v="09.16 Qualidade CQ"/>
    <d v="2025-05-30T09:25:09"/>
    <m/>
    <s v="IDEIAS-QUALIDADE"/>
    <m/>
    <s v="Resolvido"/>
    <s v="OPERAÇÃO"/>
  </r>
  <r>
    <s v="FB0077070"/>
    <s v="Caixa box não abre"/>
    <s v="Em andamento"/>
    <s v="Realizar um sistema de parada na encaixotadora ._x000a_Caso a caixa box venha colada no interior ela não abre com isso o sensor de parada do magazine não atua e com isso ela passa fechada e com isso fica enroscada nas guias de fechamento da abas laterais com essa falha ocorre o amassamento de pacotes da caixa que vem subsequente ocorrendo perda de pacotes e caixas é risco de quebra do equipamento o esforço ou soltar a corrente principal ._x000a__x000a_ OBS Ideia já foi discutida com Igor  da Programação. Ana, por favor, programar com o Igor/Eliezer, para realização. "/>
    <x v="1"/>
    <s v="Pequena mudança local"/>
    <s v="Cost (GE, rework)"/>
    <x v="11"/>
    <s v="01. LINHA 01"/>
    <d v="2026-06-29T18:11:14"/>
    <s v="Ana Martins"/>
    <s v="APROVADORES DE IDEIAS"/>
    <m/>
    <s v="Aguardando Execução "/>
    <s v="OPERAÇÃO"/>
  </r>
  <r>
    <s v="FB0077079"/>
    <s v="Sistema  Alarme Sonoro e Luminoso "/>
    <s v="Fechado"/>
    <s v="Necessidade de colocar um sistema de alarme Sonoro e luminoso no sistema da encaixotadora ._x000a_Que o momento que ocorrer a falha ele alerte os operadores caso eles  estejam desempenhando outra atividade no momento da falha._x000a__x000a_OBS Ideia discutida com Igor Programação "/>
    <x v="1"/>
    <s v="Pequena mudança local"/>
    <s v="Cost (GE, rework)"/>
    <x v="12"/>
    <s v="01. LINHA 01"/>
    <d v="2025-07-01T10:21:49"/>
    <s v="Igor Sousa"/>
    <s v="IDEIAS-VACUO"/>
    <d v="2025-07-01T10:21:49"/>
    <s v="Fechado"/>
    <s v="OPERAÇÃO"/>
  </r>
  <r>
    <s v="FB0077133"/>
    <s v="Código de parada alarme de incêndio "/>
    <s v="Cancelado"/>
    <s v="Criar um código de parada para quando o brigadista precisar se ausentar da máquina devido ao acionamento do alarme e houver intercorrência e não tiver ninguém para reveza-lo no momento."/>
    <x v="5"/>
    <s v="Pequena mudança local"/>
    <s v="Cost (GE, rework)"/>
    <x v="13"/>
    <s v="05. LINHA 05"/>
    <d v="2024-09-16T16:32:32"/>
    <m/>
    <s v="APROVADORES DE IDEIAS"/>
    <d v="2024-09-16T16:32:32"/>
    <s v="Cancelado"/>
    <s v="OPERAÇÃO"/>
  </r>
  <r>
    <s v="FB0077202"/>
    <s v="abridor de abas encaixotadora"/>
    <s v="Fechado"/>
    <s v="Foi realizada nova confecção de abridores de aba , com ângulo  de 45 graus para melhorar abertura da caixa , assim voltando com as condições da máquina de base. Protótipo está em funcionamento feito do material de acrílico e estando com bons resultados na máquina._x000a__x000a__x000a_Participantes ._x000a_Wesley,Patrick,Arthur,Mário rizo"/>
    <x v="6"/>
    <s v="Pequena mudança local"/>
    <s v="Cost (GE, rework)"/>
    <x v="14"/>
    <s v="01. LINHA 01"/>
    <d v="2024-10-29T13:07:14"/>
    <m/>
    <s v="IDEIAS-VACUO"/>
    <d v="2024-10-29T13:07:14"/>
    <s v="Fechado"/>
    <s v="OPERAÇÃO"/>
  </r>
  <r>
    <s v="FB0077203"/>
    <s v="Expulsador de caixa box"/>
    <s v="Fechado"/>
    <s v="Realizar o desenvolvimento de acionamento manual no expulsador da balança de peso._x000a_Para quando ocorre pequena falha no robô o operador possa utilizar o acionamento manual para expulsar caixa sem que haja parada de máquina._x000a__x000a_Ideia: Discutida com Igor  Santos Programação ,_x000a_Realmente é uma ótima ideia, porém todo circuito de NR12 esta interligado com o robô para ser realizado precisa a trazer uma empresa autorizada em NR12 e refazer todo circuito de NR12 novamente para que isso seja concretizado."/>
    <x v="1"/>
    <s v="Pequena mudança local"/>
    <s v="Cost (GE, rework)"/>
    <x v="15"/>
    <s v="01. LINHA 01"/>
    <d v="2025-07-04T10:08:12"/>
    <s v="Igor Sousa"/>
    <s v="IDEIAS-VACUO"/>
    <d v="2025-07-04T10:08:12"/>
    <s v="Fechado"/>
    <s v="OPERAÇÃO"/>
  </r>
  <r>
    <s v="FB0077256"/>
    <s v="tambores de capitação de pó filtro de mangas do despredador 1"/>
    <s v="Em andamento"/>
    <s v="Os tambores de capitação de pó do filtro de mangas do despredador 1 estão vazando muito pó porque eles não possuem travas e existe outros tambores que possuem travas e estão desativados porque eram do despredador 2 e hoje não funciona mais, aí poderiam ser substituídos "/>
    <x v="7"/>
    <s v="Pequena mudança local"/>
    <s v="Safety - Health"/>
    <x v="16"/>
    <s v="01. CAFÉ CRU"/>
    <d v="2024-08-22T10:49:05"/>
    <s v="Caique Ventura"/>
    <s v="IDEIAS-CAFÉ CRÚ"/>
    <m/>
    <s v="Aguardando Execução "/>
    <s v="OPERAÇÃO"/>
  </r>
  <r>
    <s v="FB0077257"/>
    <s v="suporte de proteção da moega onde joga bags"/>
    <s v="Resolvido"/>
    <s v="O novo sistema de entrada de café em bags não possui proteção, podendo amassar a estrutura da moega quando for jogar bag_x000a__x000a_"/>
    <x v="7"/>
    <s v="Pequena mudança local"/>
    <s v="Processo"/>
    <x v="17"/>
    <s v="01. CAFÉ CRU"/>
    <d v="2026-07-07T12:02:24"/>
    <s v="Ruth  Alves"/>
    <s v="APROVADORES DE IDEIAS"/>
    <m/>
    <s v="Resolvido"/>
    <s v="OPERAÇÃO"/>
  </r>
  <r>
    <s v="FB0077258"/>
    <s v="Tomadas 220"/>
    <s v="Em andamento"/>
    <s v="Colocar pontos de tomada 220 em cima dos silos de grão e pó. _x000a_Eliézer: é possivel instalar as tomadas porem não temos recursos internos para isso, @leonardo por favor puxar orçamento com Mateus Eletromarzinho"/>
    <x v="8"/>
    <s v="Pequena mudança local"/>
    <s v="Energy efficiency"/>
    <x v="18"/>
    <s v="14. SILOS CAFE MOIDO"/>
    <d v="2025-10-30T14:28:29"/>
    <s v="Ana Martins"/>
    <s v="IDEIAS-PROCESSOS"/>
    <m/>
    <s v="Aguardando Aprovação de CAPEX"/>
    <s v="OPERAÇÃO"/>
  </r>
  <r>
    <s v="FB0077552"/>
    <s v="descer as válvula de água para baixo "/>
    <s v="Fechado"/>
    <s v="A procedimento em desligar o torrador tendo que fecha as válvula do tanque de água ,ao ligar também sendo assim acesso o tanque devido a escada marinheiro precisar fazer pt e wlmra é gera um tempo acha as pessoa responsável para assinar o documento, descendo as válvula para baixo o tempo que gastaria para fazer o documento ganharia em produtividade "/>
    <x v="9"/>
    <s v="Pequena mudança local"/>
    <s v="Processo"/>
    <x v="19"/>
    <s v="02. TORREFAÇÃO"/>
    <d v="2025-07-24T14:12:54"/>
    <s v="Igor Sousa"/>
    <s v="IDEIAS-PROCESSOS"/>
    <d v="2025-07-24T14:12:54"/>
    <s v="Fechado"/>
    <s v="OPERAÇÃO"/>
  </r>
  <r>
    <s v="FB0077563"/>
    <s v="Redução de carreta no pátio "/>
    <s v="Fechado"/>
    <s v="Deixar entrar as carretas que estão programadas para descarregar no turno para tirar amostra e não todas do dia as 6h como é hoje. Será necessário priorizar a atividade de tirar amostra logo após contagem de estoque, para não correr risco de atrasos no CQCV. Teremos no máximo 3 carretas no pátio, o que ajuda o almoxarifado ao descarregar cavaco, facilita na gestão de estoque e demais movimentações, além da divisão de atividades entre turnos sobrará tempo para jogar bags e outras atividades no 1 turno"/>
    <x v="10"/>
    <s v="Pequena mudança local"/>
    <s v="Organisation of work"/>
    <x v="20"/>
    <s v="01. CAFÉ CRU"/>
    <d v="2024-10-30T08:35:13"/>
    <s v="Sarah Teixeira"/>
    <s v="IDEIAS-CAFÉ CRÚ"/>
    <d v="2024-10-30T08:35:13"/>
    <s v="Fechado"/>
    <s v="OPERAÇÃO"/>
  </r>
  <r>
    <s v="FB0077783"/>
    <s v="Cantoneira para fixar cortina"/>
    <s v="Cancelado"/>
    <s v="Seria necessário fixar uma cantoneira para fixação da cortina._x000a_Pois toda vez que uma carreta entra na plataforma é preciso segurar parte da cortina para o motorista enxergar a faixa amarela que o auxilia no alinhamento dos pneus da carreta."/>
    <x v="11"/>
    <s v="Pequena mudança local"/>
    <s v="Safety - Health"/>
    <x v="21"/>
    <s v="08. LOGISTICA"/>
    <d v="2025-04-24T11:26:45"/>
    <m/>
    <s v="IDEIAS-LOGÍSTICA"/>
    <d v="2025-04-24T11:26:45"/>
    <s v="Cancelado"/>
    <s v="OPERAÇÃO"/>
  </r>
  <r>
    <s v="FB0077784"/>
    <s v="Sistema de ventilação e exaustão "/>
    <s v="Em andamento"/>
    <s v="Nesta área de recebimento das carretas,ao entrar nelas não existe um sistema de circulação de ar,ou exaustor para captar o pó na descarga do café._x000a_A falta de uma ventilação eficiente prejudica a respiração e exaustão do corpo,fazendo o operador a suar excessivamente,causando desidratação._x000a__x000a_SHE: Hiago, o conforto térmico não esta conectado com o projeto ATEX. Eles podem ser desenvolvido juntos mas os objetivos são diferentes._x000a__x000a_É possivel realizar melhorias na aclimatação do setor. Deevemos fazer uma MOC e na sequencia abrir uma TAP._x000a__x000a_Do ponto de vista de SHE a ideia está aprovada."/>
    <x v="11"/>
    <s v="Pequena mudança local"/>
    <s v="Safety - Health"/>
    <x v="22"/>
    <s v="01. CAFÉ CRU"/>
    <d v="2026-04-20T18:35:24"/>
    <s v="Tiago Carvalho"/>
    <s v="IDEIAS-CAFÉ CRÚ"/>
    <m/>
    <s v="Aguardando MOC"/>
    <s v="OPERAÇÃO"/>
  </r>
  <r>
    <s v="FB0078291"/>
    <s v="Aumento de capacidade de estoque de café cru"/>
    <s v="Fechado"/>
    <s v="Atualmente armazenamos 1000kg de café em cada bag, com isso sobra um espaço vazio em cada bag. A proposta é aumentar para 1100kg em cada bag, respeitando sua capacidade máxima de armazenamento._x000a_Solicitar ao Michel EGE para configurar a quantidade de café na retirada de bag._x000a_"/>
    <x v="10"/>
    <s v="Pequena mudança local"/>
    <s v="Organisation of work"/>
    <x v="23"/>
    <s v="01. CAFÉ CRU"/>
    <d v="2024-12-13T15:04:16"/>
    <s v="Sarah Teixeira"/>
    <s v="IDEIAS-CAFÉ CRÚ"/>
    <d v="2024-12-13T15:04:16"/>
    <s v="Fechado"/>
    <s v="OPERAÇÃO"/>
  </r>
  <r>
    <s v="FB0078586"/>
    <s v="fechador de abas"/>
    <s v="Fechado"/>
    <s v="confecção de um nomo modelo de fechador de abas para encaixotadora mais simples e eficaz"/>
    <x v="12"/>
    <s v="Pequena mudança local"/>
    <s v="Product"/>
    <x v="24"/>
    <s v="01. LINHA 01"/>
    <d v="2024-10-29T13:55:17"/>
    <m/>
    <s v="IDEIAS-VACUO"/>
    <d v="2024-10-29T13:55:17"/>
    <s v="Fechado"/>
    <s v="ADM/TÉCNICO/ASSISTENTE/ESTAG."/>
  </r>
  <r>
    <s v="FB0078785"/>
    <s v="Programa de apadrinhamento da operação pela manutenção "/>
    <s v="Em andamento"/>
    <s v="IDEIA_x000a_Criar um programa onde os associados que estão fazendo ou já fizeram curso técnico de eletrônico e mecânico sejam apadrinhados pelos manutentores na execução de atividades em paradas e preventivas possibilitando transferência de conhecimento e preparação para próximas oportunidades._x000a__x000a_---------------------_x000a__x000a_FEEDBACK_x000a_Edvan, obrigada pela ideia. Vamos ver como conseguimos incorporar isso integrando o pilar de MA e ORG. A Luzia vai verificar. (Lu, analisar por favor e colocar em pauta para algum desses pilares)_x000a__x000a_FEEDBACK 23/09/2025: Creio que seja uma ótima oportunidade de aprendizado mas que precisará de um plano para garantir oportunidades igualitárias sem que impacte as atividades operacionais e manutenções. Levarei para o pilar Org, creio ser uma frente de trabalho possível para 2026._x000a__x000a_FEEDBACK 28/05/2026: Atribuindo e encaminhando à Fabrizia para que analise e veja se é possível levar o tema no pilar org ou se não está alinhado a estratégia do momento."/>
    <x v="2"/>
    <s v="Pequena mudança local"/>
    <s v="Organisation of work"/>
    <x v="25"/>
    <s v="01. TORRADORES"/>
    <d v="2026-07-03T10:48:50"/>
    <s v="Fabrizia Soares"/>
    <s v="APROVADORES DE IDEIAS"/>
    <m/>
    <s v="Aguardando Execução "/>
    <s v="OPERAÇÃO"/>
  </r>
  <r>
    <s v="FB0081067"/>
    <s v="testador de vácuo PKD"/>
    <s v="Resolvido"/>
    <s v="O testador de vácuo está amaçando o pacote durante o teste de pressão ._x000a_Com esse amaçado o pacote ganha uma inclinação vindo a escorregar na encaixotadora e também podendo rasgar a caixa durante o enchimentos devido a forma que fundo do pacote fica._x000a_Realizar uma melhoria no stop do testador afim que a chapa que segura o pacote não encline para não amassar o pacote._x000a_Ideia discutida com Arthur da manutenção "/>
    <x v="1"/>
    <s v="Pequena mudança local"/>
    <s v="Qualidade"/>
    <x v="26"/>
    <s v="01. LINHA 01"/>
    <d v="2026-01-27T13:10:30"/>
    <s v="Henrique Cardoso"/>
    <s v="IDEIAS-VACUO"/>
    <m/>
    <s v="Resolvido"/>
    <s v="OPERAÇÃO"/>
  </r>
  <r>
    <s v="FB0081758"/>
    <s v="Substituir as lixeiras sem cor por lixeiras com a cor da soleta seletiva"/>
    <s v="Cancelado"/>
    <s v="Por 5S, a sugestão é substituirmos as lixeiras por lixeiras novas nas linhas de acordo com as cores da coleta seletiva (igual tem na logísitca). Elas não ficam encardidas. Não precisa trocar agora, mas na próxima substituição considerar esse modelo. "/>
    <x v="13"/>
    <s v="Pequena mudança local"/>
    <s v="Organisation of work"/>
    <x v="27"/>
    <s v="04. EMPACOTAMENTO"/>
    <d v="2025-04-23T11:05:06"/>
    <m/>
    <s v="APROVADORES DE IDEIAS"/>
    <d v="2025-04-23T11:05:06"/>
    <s v="Cancelado"/>
    <s v="ADM/TÉCNICO/ASSISTENTE/ESTAG."/>
  </r>
  <r>
    <s v="FB0082056"/>
    <s v="Plano fixo de Cafés"/>
    <s v="Cancelado"/>
    <s v="Fixar o plano de cafés nas fabrimas, onde as fabrimas 4 e 5 produziriam café de canaleta fechada, que é o tipo de café que tem a melhor performance nas máquinas. E as fabrimas 2 e 3 produziriam cafés de canaletas abertas, que é o tipo de café que produz melhor nas máquinas._x000a__x000a_(Aberto a opiniões)"/>
    <x v="14"/>
    <s v="Pequena mudança local"/>
    <s v="Cost (GE, rework)"/>
    <x v="28"/>
    <s v="04. EMPACOTAMENTO"/>
    <d v="2025-04-23T15:08:06"/>
    <m/>
    <s v="APROVADORES DE IDEIAS"/>
    <d v="2025-04-23T15:08:06"/>
    <s v="Cancelado"/>
    <s v="OPERAÇÃO"/>
  </r>
  <r>
    <s v="FB0082999"/>
    <s v="Apoio fixo (pé fixo)"/>
    <s v="Cancelado"/>
    <s v="Soldar 5 apoio fixo com 15 cm de altura sendo dois em cada lado e um no meio _x000a_Vejo que é recorrente a quebra das rodas sendo com apoio fixo não teremos mais ocorrência de quebra e com isso iremos economizar pois cada roda custa em média 700.00 cada_x000a_E soldando pés teríamos pouco gastos "/>
    <x v="15"/>
    <s v="Pequena mudança local"/>
    <s v="Organisation of work"/>
    <x v="29"/>
    <s v="01. LINHA 01"/>
    <d v="2025-02-16T14:01:21"/>
    <m/>
    <s v="IDEIAS-VACUO"/>
    <d v="2025-02-16T14:01:21"/>
    <s v="Cancelado"/>
    <s v="OPERAÇÃO"/>
  </r>
  <r>
    <s v="FB0083266"/>
    <s v="colocar o torrador 3 para torra super claro"/>
    <s v="Fechado"/>
    <s v="Mesmo quando os torradores turbo 1 e 2 tiver funcionando,ligaria o torrador 3 para fazer o super claro ganharíamos na produtividade e acompanharia a máquina sempre em funcionamento não ficaria grandes período desligado não sujeitando problemas e perda de café quando  precisar da máquina ela não ficará grandes período desligada , não consumiria muito o gás pq ligaria por pequeno período só para abastecer o super claro qualquer defeito seria identificado  se caso problema no torrador 1 e 2 a máquina 3 estaria pronta para produzir integralmente "/>
    <x v="9"/>
    <s v="Pequena mudança local"/>
    <s v="Processo"/>
    <x v="30"/>
    <s v="03. TORRADOR 03"/>
    <d v="2025-07-23T07:21:54"/>
    <s v="Igor Sousa"/>
    <s v="IDEIAS-PROCESSOS"/>
    <d v="2025-07-23T07:21:54"/>
    <s v="Fechado"/>
    <s v="OPERAÇÃO"/>
  </r>
  <r>
    <s v="FB0083468"/>
    <s v="'+ aspirador de pó "/>
    <s v="Fechado"/>
    <s v="Comprar + aspirador de pó para fabrimas, para economizar tempo de cil, pois como possui apenas 1 aspirador pra 2 máquinas, sendo que uma pessoa tem q esperar desocupar o aspirador para poder usar_x000a__x000a_"/>
    <x v="16"/>
    <s v="Pequena mudança local"/>
    <s v="Organisation of work"/>
    <x v="31"/>
    <s v="04. LINHA 04"/>
    <d v="2025-09-09T11:28:11"/>
    <m/>
    <s v="APROVADORES DE IDEIAS"/>
    <d v="2025-09-09T11:28:11"/>
    <s v="Fechado"/>
    <s v="OPERAÇÃO"/>
  </r>
  <r>
    <s v="FB0083992"/>
    <s v="Lixeira integrada na bancada para otimização de espaço"/>
    <s v="Cancelado"/>
    <s v="Fazer um furo com o devido acabamento no granito das bancadas da barreira sanitária para colocar as lixeiras de papel toalha embaxio da bancada e liberar espaço visto que as lixeiras estão muito proximas da catraca da barreira sanitária. Também poderia ser feito nos banheiros visto que principalmente no feminino a localização atual da lixeira pode dificultar um pouco o transito na porta do banheiro. Sugestão nas imagens em anexo_x000a__x000a_As lixeiras podem ter tampas giratórias/basculantes (semelhantes como são as lixeiras inox do adm) embutidas na bancada para atender os requistos de qualidade e não ficarem abertas."/>
    <x v="17"/>
    <s v="Pequena mudança local"/>
    <s v="Organisation of work"/>
    <x v="32"/>
    <s v="09.5 BANHEIROS "/>
    <d v="2025-05-20T08:45:48"/>
    <m/>
    <s v="IDEIAS-ADMINISTRATIVO"/>
    <d v="2025-05-20T08:45:48"/>
    <s v="Cancelado"/>
    <s v="ADM/TÉCNICO/ASSISTENTE/ESTAG."/>
  </r>
  <r>
    <s v="FB0084063"/>
    <s v="alteração na descrição das receitas"/>
    <s v="Fechado"/>
    <s v="Algumas receitas não contém o número do Blend,por exemplo Damasco tradicional (Blend 40)"/>
    <x v="18"/>
    <s v="Pequena mudança local"/>
    <s v="Qualidade"/>
    <x v="33"/>
    <s v="02. TORREFAÇÃO"/>
    <d v="2025-07-08T08:49:22"/>
    <s v="Igor Sousa"/>
    <s v="IDEIAS-PROCESSOS"/>
    <d v="2025-07-08T08:49:22"/>
    <s v="Fechado"/>
    <s v="OPERAÇÃO"/>
  </r>
  <r>
    <s v="FB0084739"/>
    <s v="filtrar paradas do robô "/>
    <s v="Fechado"/>
    <s v="IDEIA _x000a_Filtrar as paradas do robô , mudando a cor das paradas ex: ( amarelo) , está dificultando muito para separar as paradas para fechar o relatório no final do turno ._x000a__x000a_-------------_x000a__x000a_APROVAÇÃO_x000a_Angela, excelente ideia. Demoramos para implantar, pois desde novembro estamos sem o orçamento para melhorias no MOP. Ele foi reativado agora em abril e já encaminhamos sua ideia na lista de solicitações. _x000a_Para conhecimento, esse orçamento nos permite usar 3 diárias mensais de serviço especializado para alguma melhoria no MOP, então às vezes se já usamos as diárias, precisamos esperar o próximo mês para pedir algo novo. "/>
    <x v="19"/>
    <s v="Pequena mudança local"/>
    <s v="Cost (GE, rework)"/>
    <x v="34"/>
    <s v="04. LINHA 04"/>
    <d v="2025-06-13T00:43:31"/>
    <s v="Giovanna Biffaratte"/>
    <s v="APROVADORES DE IDEIAS"/>
    <d v="2025-06-13T00:43:31"/>
    <s v="Fechado"/>
    <s v="OPERAÇÃO"/>
  </r>
  <r>
    <s v="FB0084748"/>
    <s v="Adicionar no CIL mensal para limpeza dos utensílios de limpeza das areas"/>
    <s v="Fechado"/>
    <s v="Devido ao acumulo de sujeira, adicionar no CIL mensal a limpeza dos utensílios de limpeza com água ou pano. "/>
    <x v="20"/>
    <s v="Pequena mudança local"/>
    <s v="Qualidade"/>
    <x v="35"/>
    <s v="01. LINHA 01"/>
    <d v="2025-07-08T08:50:18"/>
    <s v="Bianca Silva"/>
    <s v="IDEIAS-VACUO"/>
    <d v="2025-07-08T08:50:18"/>
    <s v="Fechado"/>
    <s v="ADM/TÉCNICO/ASSISTENTE/ESTAG."/>
  </r>
  <r>
    <s v="FB0084875"/>
    <s v="Canetas sempre no chão "/>
    <s v="Fechado"/>
    <s v="As canetas do quadro da moagem sempre caíam, foi feito um suporte(paleativo), para acabar com este problema"/>
    <x v="21"/>
    <s v="Pequena mudança local"/>
    <s v="Organisation of work"/>
    <x v="36"/>
    <s v="03. MOAGEM"/>
    <d v="2024-10-30T08:34:33"/>
    <s v="Camila Silva"/>
    <s v="IDEIAS-PROCESSOS"/>
    <d v="2024-10-30T08:34:33"/>
    <s v="Fechado"/>
    <s v="OPERAÇÃO"/>
  </r>
  <r>
    <s v="FB0085512"/>
    <s v="Abridor de Abas "/>
    <s v="Fechado"/>
    <s v="Realizar alteração no tempo de atuação do abridor de abas fazendo com que ele não entre junto com chapa frontal do enchedor para que não aja colisão na caixa fora do tempo e assim a caixa fica parada não movimento nem para traz ou para frente _x000a__x000a_Ideia já discutido com Igor Eletrônico _x000a_"/>
    <x v="1"/>
    <s v="Pequena mudança local"/>
    <s v="Cost (GE, rework)"/>
    <x v="37"/>
    <s v="01. LINHA 01"/>
    <d v="2024-10-29T13:02:50"/>
    <m/>
    <s v="IDEIAS-VACUO"/>
    <d v="2024-10-29T13:02:50"/>
    <s v="Fechado"/>
    <s v="OPERAÇÃO"/>
  </r>
  <r>
    <s v="FB0085628"/>
    <s v="melhoria procedimento quando arrebenta a alça do bag"/>
    <s v="Em andamento"/>
    <s v="quando arrebenta uma alça de bag hoje amarramos a alça com corda reaproveitada da caçamba do cavaco conforme foto._x000a_para melhorar a situação de segurança _x000a_ favor comprar uma cinta de 1.5m com capacidade 1500kg para está ser usada no alcamento do bag (considerando as outras 3 alças restante)_x000a__x000a_Pedro Ferreira: _x000a_Ideia apta para execução, mas é necessário que o orçamento seja enviado até CI, para que seja efetuada a compra. _x000a__x000a_"/>
    <x v="22"/>
    <s v="Pequena mudança local"/>
    <s v="Safety - Health"/>
    <x v="38"/>
    <s v="01. CAFÉ CRU"/>
    <d v="2026-08-04T14:38:08"/>
    <s v="Flavia Silveira"/>
    <s v="APROVADORES DE IDEIAS"/>
    <m/>
    <s v="Aguardando material "/>
    <s v="OPERAÇÃO"/>
  </r>
  <r>
    <s v="FB0085629"/>
    <s v="Moinho 1"/>
    <s v="Cancelado"/>
    <s v="Eu sou analista do detector de metais e tenho que peneirar no moinho 1, e o moinho 1 a altura e muito baixa e acabando prejudicando minha postura causando dores nas costas deivido de estar muito baixo para mim,sugiro que aumentasse um pouco mais a altura._x000a__x000a_SHE: há um projeto em andamento para instalação de uma peneira vibratória no local. A peneira terá uma altura ergonômica."/>
    <x v="23"/>
    <s v="Pequena mudança local"/>
    <s v="Safety - Health"/>
    <x v="39"/>
    <s v="03. MOAGEM"/>
    <d v="2025-06-17T10:43:51"/>
    <m/>
    <s v="IDEIAS-PROCESSOS"/>
    <d v="2025-06-17T10:43:51"/>
    <s v="Cancelado"/>
    <s v="OPERAÇÃO"/>
  </r>
  <r>
    <s v="FB0085630"/>
    <s v="moinho 5"/>
    <s v="Em andamento"/>
    <s v="Quando eu for peneira no moinho 5 a peneira é muito grande a(largura) causando a caída de café no chão, sugiro que fizeste uma peneira da largura que faz o reprocesso de café para não cair no chão,ou aumentasse mais a largura do moinho."/>
    <x v="23"/>
    <s v="Pequena mudança local"/>
    <s v="Cost (GE, rework)"/>
    <x v="40"/>
    <s v="01. MOINHO 05"/>
    <d v="2025-04-03T10:09:01"/>
    <s v="Moises Costa"/>
    <s v="IDEIAS-PROCESSOS"/>
    <m/>
    <s v="Aguardando Aprovação de CAPEX"/>
    <s v="OPERAÇÃO"/>
  </r>
  <r>
    <s v="FB0085638"/>
    <s v="Sujeira de café na Roupa devido ao café ser peneira do"/>
    <s v="Cancelado"/>
    <s v="Eu Emilly Silva sou analista do detector de metais, e precisar peneira o café e onde que ocorre sujar a roupa de café, pois o café espalha muito ao peneira-lo , sugiro para não sujar muito a roupa, ja que é só eu que peneira o café de alguns turno acaba ficando muito suja a minha roupa, sugiro que eu tivesse algum jaleco para mim usar para está fazendo a devida atividade."/>
    <x v="23"/>
    <s v="Pequena mudança local"/>
    <s v="Qualidade"/>
    <x v="41"/>
    <s v="01. MOINHO 01"/>
    <d v="2025-06-12T23:26:16"/>
    <m/>
    <s v="IDEIAS-PROCESSOS"/>
    <d v="2025-06-12T23:26:16"/>
    <s v="Cancelado"/>
    <s v="OPERAÇÃO"/>
  </r>
  <r>
    <s v="FB0085991"/>
    <s v="Aumento do ranger "/>
    <s v="Fechado"/>
    <s v="Aumentar o ranger do parâmetro tempo atraso do freio, vertical da fabrima 4 está muito curta e variando bastante quando rodado no parâmetro limite do centerlining (90) a ideia é aumentar o ranger para até 110 pois assim a vertical fica mais fixa sem variação e maior como se pode ver na imagem."/>
    <x v="24"/>
    <s v="Pequena mudança local"/>
    <s v="Cost (GE, rework)"/>
    <x v="42"/>
    <s v="04. LINHA 04"/>
    <d v="2025-07-04T10:18:00"/>
    <m/>
    <s v="APROVADORES DE IDEIAS"/>
    <d v="2025-07-04T10:18:00"/>
    <s v="Fechado"/>
    <s v="OPERAÇÃO"/>
  </r>
  <r>
    <s v="FB0086147"/>
    <s v="Aumento da capacidade de armazenamento "/>
    <s v="Fechado"/>
    <s v="Foram cerrados paletes PBR, de forma que coubessem em baixo do rack, para ganho de espaço. Com isso ganhamos espaço e conseguimos alocar todas as etiquetas de fardo em um local mais próximo a sala do almoxarifado, facilitando seu manuseio "/>
    <x v="21"/>
    <s v="Pequena mudança local"/>
    <s v="Organisation of work"/>
    <x v="43"/>
    <s v="09.1 ALMOXARIFADO"/>
    <d v="2024-10-29T13:15:50"/>
    <m/>
    <s v="IDEIAS-CAFÉ CRÚ"/>
    <d v="2024-10-29T13:15:50"/>
    <s v="Fechado"/>
    <s v="OPERAÇÃO"/>
  </r>
  <r>
    <s v="FB0086152"/>
    <s v="EFICIÊNCIA NO PROCESSO"/>
    <s v="Fechado"/>
    <s v="Foi solicitado orçamento de 8 bandeijas para armário, afim de otimizar a organização. Com estas bandeijas ganhamos em:_x000a_5S _x000a_ORGANIZAÇÃO _x000a_TEMPO EM COMPRAS_x000a_TEMPO EM CONTAGEM_x000a_GANHO DE ESPAÇO ( pois conseguiremos eliminar esta prateleira da foto, deixando os uniformes apenas em armários trancados)_x000a_ACURACIDADE DE ESTOQUE (facilita a contagem)."/>
    <x v="21"/>
    <s v="Pequena mudança local"/>
    <s v="Organisation of work"/>
    <x v="44"/>
    <s v="06. ADMINISTRATIVO"/>
    <d v="2025-07-08T10:43:45"/>
    <s v="Aline Fernandes"/>
    <s v="IDEIAS-ADMINISTRATIVO"/>
    <d v="2025-07-08T10:43:45"/>
    <s v="Fechado"/>
    <s v="OPERAÇÃO"/>
  </r>
  <r>
    <s v="FB0086164"/>
    <s v="Equipamento desnecessário "/>
    <s v="Cancelado"/>
    <s v="Possível retirada do elevador vermelho antigo,para facilitar retirada de café em carrinhos do torrador 1 e para passagem no corredor com caçamba de descarte!_x000a__x000a_Obs:Equipamento encontra-se inutilizado "/>
    <x v="18"/>
    <s v="Pequena mudança local"/>
    <s v="Processo"/>
    <x v="45"/>
    <s v="01. TORRADOR 01"/>
    <d v="2025-06-09T14:37:28"/>
    <m/>
    <s v="IDEIAS-PROCESSOS"/>
    <d v="2025-06-09T14:37:28"/>
    <s v="Cancelado"/>
    <s v="OPERAÇÃO"/>
  </r>
  <r>
    <s v="FB0086390"/>
    <s v="CIL Café cru - inlcluir limpeza do elevador "/>
    <s v="Em andamento"/>
    <s v="no dia 23/10/24 tivemos uma parada no elevador da lançanca de CV devido a acumulo de sujeira (sacaria) e caneca. Com isso o time de manutenção realizou a limpeza e desobstrução do sistema. _x000a__x000a_Este é um item de manutenção preventiva e foi feita de acordo com o tempo programado (está em dia)._x000a_Tendo isto em vista, solicito a avaliação e inclusão da limpeza deste ponto no CIL._x000a_ Levando em consideração que o CIL deve previnir paradas não planejadas nas máquinas que são resolvidas com limpeza."/>
    <x v="22"/>
    <s v="Pequena mudança local"/>
    <s v="Cost (GE, rework)"/>
    <x v="46"/>
    <s v="01. CAFÉ CRU"/>
    <d v="2026-09-17T10:24:20"/>
    <s v="Flavia Silveira"/>
    <s v="APROVADORES DE IDEIAS"/>
    <m/>
    <s v="Aguardando Execução "/>
    <s v="OPERAÇÃO"/>
  </r>
  <r>
    <s v="FB0086521"/>
    <s v="portao da entrada de caminhões "/>
    <s v="Cancelado"/>
    <s v="Fazer a troca por um portão automático porque acaba exigindo muito esforço físico dos terceiros da portaria, como travamento do portão em dias de chuva emperra entre outros._x000a_"/>
    <x v="25"/>
    <s v="Pequena mudança local"/>
    <s v="Safety - Health"/>
    <x v="47"/>
    <s v="09.14 PORTARIA"/>
    <d v="2025-06-09T14:42:15"/>
    <m/>
    <s v="IDEIAS-ADMINISTRATIVO"/>
    <d v="2025-06-09T14:42:15"/>
    <s v="Cancelado"/>
    <s v="OPERAÇÃO"/>
  </r>
  <r>
    <s v="FB0086839"/>
    <s v="Ligação independente para codificadora de caixas"/>
    <s v="Em andamento"/>
    <s v="Colocar uma ligação independente para codificadora de caixas da ligação da encaixotadora. Atualmente se desligar a geral da encaixotadora já desliga automaticamente a codificadora de caixas, porém ela precisa de um procedimento de desligamento mais demorado conforme treinamento que foi ministrado pelo técnico no ano passado após as grandes ocorrências que tivemos na codificadora._x000a__x000a_Manutenção: Precisamos fazer orçamento com Eletromarzinho para a instalação de infra para passagem de cabos."/>
    <x v="26"/>
    <s v="Pequena mudança local"/>
    <s v="Processo"/>
    <x v="48"/>
    <s v="01. LINHA 01"/>
    <d v="2025-07-21T10:43:53"/>
    <s v="Igor Sousa"/>
    <s v="IDEIAS-VACUO"/>
    <m/>
    <s v="Cancelado"/>
    <s v="ADM/TÉCNICO/ASSISTENTE/ESTAG."/>
  </r>
  <r>
    <s v="FB0087054"/>
    <s v="Raumak 2 Eliminar o motor desbobinador "/>
    <s v="Resolvido"/>
    <s v="IDEIA_x000a__x000a_Eliminar o motor desbobinador da Raumak 2, para evitar a queda do motor e evitar paradas da Raumak devido a causa que é feita o motor desbobinador da Raumak 2, e sugiro que seja feita a eliminação do motor desbobinador e colocasse a Raumak 2 e a bailarina também, colocasse a Raumak 2 que nem as Raumak 3,4 e 5._x000a_Pois mudando a Raumak 2 que nem ás Raumak 3,4 e 5, Ficaria com mais fácil acesso e evitaria a queda do motor e teria mais fácil acesso com a bobina na hora da troca pois o modo que é feito a Bailarina é o motor fica difícil com difícil acesso e a bobina e o motor não cairia,e não causaria nenhum acidente de lesão leve._x000a_Colocando a Raumak 2 que nem a Raumak 3,4 e 5 e que nem as bailarinas ficariam com mais fácil acesso e ficariam melhor._x000a__x000a_---------_x000a_APROVAÇÃO _x000a_Visto durante o plantão de ideias com a Emilly que a ideia está com o Arthur para viabilidade técnica. Prover atualização. _x000a_Solicitado a Emilly também a adição de fotos. _x000a_"/>
    <x v="23"/>
    <s v="Pequena mudança local"/>
    <s v="Safety - Health"/>
    <x v="49"/>
    <s v="02. LINHA 02"/>
    <d v="2025-11-28T11:12:18"/>
    <m/>
    <s v="APROVADORES DE IDEIAS"/>
    <m/>
    <s v="Resolvido"/>
    <s v="OPERAÇÃO"/>
  </r>
  <r>
    <s v="FB0087078"/>
    <s v="Projeto faixas para estacionamento "/>
    <s v="Fechado"/>
    <s v="Projeto consiste na pintura de faixas para organização das carretas inbound e outbound no espaço lateral no pátio externo da logística "/>
    <x v="27"/>
    <s v="Pequena mudança local"/>
    <s v="Organisation of work"/>
    <x v="50"/>
    <s v="08. LOGISTICA"/>
    <d v="2025-06-27T10:51:45"/>
    <s v="Fabio A Oliveira"/>
    <s v="IDEIAS-LOGÍSTICA"/>
    <d v="2025-06-27T10:51:45"/>
    <s v="Fechado"/>
    <s v="OPERAÇÃO"/>
  </r>
  <r>
    <s v="FB0087113"/>
    <s v="tomada para conectar o aspirador entre a Raumak e robô  linha 2-3"/>
    <s v="Resolvido"/>
    <s v="Entre a Raumak e robô da linha 2-3 não tem tomada que adapta o aspirador, pois a entrega da tomada dele é  grossa"/>
    <x v="19"/>
    <s v="Pequena mudança local"/>
    <s v="Processo"/>
    <x v="51"/>
    <s v="02. LINHA 02"/>
    <d v="2026-07-23T11:59:01"/>
    <s v="Anderson Santana"/>
    <s v="APROVADORES DE IDEIAS"/>
    <m/>
    <s v="Resolvido"/>
    <s v="OPERAÇÃO"/>
  </r>
  <r>
    <s v="FB0087245"/>
    <s v="colocar as limpeza t3 cil"/>
    <s v="Resolvido"/>
    <s v="Não tem no cil"/>
    <x v="9"/>
    <s v="Pequena mudança local"/>
    <s v="Qualidade"/>
    <x v="52"/>
    <s v="02. TORREFAÇÃO"/>
    <d v="2026-09-17T10:23:14"/>
    <s v="Flavia Silveira"/>
    <s v="APROVADORES DE IDEIAS"/>
    <m/>
    <s v="Cancelado"/>
    <s v="OPERAÇÃO"/>
  </r>
  <r>
    <s v="FB0087246"/>
    <s v="rosca de película 1 e 2  por no cil"/>
    <s v="Fechado"/>
    <s v="Precisar fazer raspagem as crosta que forma"/>
    <x v="9"/>
    <s v="Pequena mudança local"/>
    <s v="Product"/>
    <x v="53"/>
    <s v="02. TORREFAÇÃO"/>
    <d v="2025-11-05T08:54:27"/>
    <s v="Bianca Silva"/>
    <s v="IDEIAS-PROCESSOS"/>
    <d v="2025-11-05T08:54:27"/>
    <s v="Fechado"/>
    <s v="OPERAÇÃO"/>
  </r>
  <r>
    <s v="FB0087260"/>
    <s v="aspirador pneumático pra facilitar a limpeza parte superior dos silos "/>
    <s v="Fechado"/>
    <s v="Aspirador de pó, facilitando os trabalhos em altura onde temos que fazer limpeza de fim de mês ou qualquer outra atividade em altura _x000a_E a não ter que ficar jogando toda aquela quantidade de pó e sujeira no chão tendo que fazer dois trabalhos num só _x000a_Esse aspirador poderíamos está vendo uma maneira fácil de tá usando ele com o cinto de segurança _x000a_E seria interessante também aderirmos a compra de um pra cada área assim como a cor da area _x000a_Tendo o produto pronto não teriamos mais a limpeza com ar comprimido facilitando e muito nosso trabalho e a limpeza "/>
    <x v="28"/>
    <s v="Pequena mudança local"/>
    <s v="Organisation of work"/>
    <x v="54"/>
    <s v="03. MOAGEM"/>
    <d v="2026-01-07T13:45:34"/>
    <s v="Ricardo Nishida"/>
    <s v="IDEIAS-PROCESSOS"/>
    <d v="2026-01-07T13:45:34"/>
    <s v="Fechado"/>
    <s v="OPERAÇÃO"/>
  </r>
  <r>
    <s v="FB0087261"/>
    <s v="Melhoria de ergonomia para limpeza das Câmaras de torra "/>
    <s v="Fechado"/>
    <s v="Realizar compra de um desincrustador pneumático para facilitar a limpeza das câmaras de torra, gerando mais facilidade e retirando o uso de espátula e marreta. Isso irá reduzir o tempo de limpeza, reduzindo também a exposição do associado ao risco de NR33, além dos benefícios a ergonomia da atividade."/>
    <x v="29"/>
    <s v="Pequena mudança local"/>
    <s v="Safety - Health"/>
    <x v="55"/>
    <s v="02. TORREFAÇÃO"/>
    <d v="2025-06-11T14:45:44"/>
    <s v="Ricardo Nishida"/>
    <s v="IDEIAS-PROCESSOS"/>
    <d v="2025-06-11T14:45:44"/>
    <s v="Fechado"/>
    <s v="OPERAÇÃO"/>
  </r>
  <r>
    <s v="FB0087369"/>
    <s v="Melhoria Torrador 3"/>
    <s v="Resolvido"/>
    <s v="Criação de uma porta na lateral no torrador 3.. para facilitar a condição de limpeza de películas na parte inferior do mesmo, local onde é espaço confinado, de difícil acesso, péssima ergonomia e acumula muita sujeira. _x000a__x000a_Esse local faz parte da rotina de limpeza diária, sendo necessário limpar todo início de produção ( geralmente aos domingos )._x000a__x000a_Com essa sugestão seria possível realizar a limpeza de uma forma mais segura, ágil , e sem a necessidade de um operador adentrar ao espaço confinado eliminando a abertura de PT, separar um associado para vigia, e socorrista, sendo possível priorizar outras atividades."/>
    <x v="5"/>
    <s v="Pequena mudança local"/>
    <s v="Safety - Health"/>
    <x v="56"/>
    <s v="02. TORREFAÇÃO"/>
    <d v="2026-03-25T11:29:50"/>
    <s v="Izabela Pugliesi"/>
    <s v="IDEIAS-PROCESSOS"/>
    <m/>
    <s v="Resolvido"/>
    <s v="OPERAÇÃO"/>
  </r>
  <r>
    <s v="FB0087415"/>
    <s v="melhoria na fixação das pinças superior e inferior da formação do fundo PKD"/>
    <s v="Em andamento"/>
    <s v="Melhoria na fixação das pinças superior e inferior da formação do fundo PKD_x000a_Deve ser realizado a confecção de duas pinças novas com o furo de fixação com a medida exata do parafuso para que não haja folga nem ajuste neste ponto "/>
    <x v="12"/>
    <s v="Pequena mudança local"/>
    <s v="Qualidade"/>
    <x v="57"/>
    <s v="01. LINHA 01"/>
    <d v="2024-11-06T13:42:55"/>
    <s v="Andre Mendes Costa"/>
    <s v="IDEIAS-VACUO"/>
    <m/>
    <s v="Aguardando Execução "/>
    <s v="ADM/TÉCNICO/ASSISTENTE/ESTAG."/>
  </r>
  <r>
    <s v="FB0087474"/>
    <s v="transporte café torrado do torrador3"/>
    <s v="Fechado"/>
    <s v="Implementar tela do transporte de café torrado na tela principal do torrador 3_x000a_Semelhante à dos turbo 1 e 2"/>
    <x v="18"/>
    <s v="Pequena mudança local"/>
    <s v="Organisation of work"/>
    <x v="58"/>
    <s v="02. TORREFAÇÃO"/>
    <d v="2025-07-08T08:49:48"/>
    <s v="Igor Sousa"/>
    <s v="IDEIAS-PROCESSOS"/>
    <d v="2025-07-08T08:49:48"/>
    <s v="Fechado"/>
    <s v="OPERAÇÃO"/>
  </r>
  <r>
    <s v="FB0087661"/>
    <s v="ALTERAÇÃO DO MODELO DE CILINDRO DO BRAÇO DOBRADOR DE ABAS DA ENCAIXOTADORA"/>
    <s v="Resolvido"/>
    <s v="DESENVOLVER UM MODELO DE CILINDRO PNEUMÁTICO QUE TENHA MAIS RESISTENCIA A IMPACTOS POR TORÇÃO E POSSUA SISTEMA DE AMORTECIMENTO DE FIM DE CURSO - AÇÃO DA BDA RCA0195536 , ONDE HOUVE A QUEBRA DO EIXO DESSE CILINDRO"/>
    <x v="30"/>
    <s v="Pequena mudança local"/>
    <s v="Cost (GE, rework)"/>
    <x v="59"/>
    <s v="01. LINHA 01"/>
    <d v="2026-08-31T10:16:47"/>
    <s v="Henrique Cardoso"/>
    <s v="APROVADORES DE IDEIAS"/>
    <m/>
    <s v="Resolvido"/>
    <s v="ADM/TÉCNICO/ASSISTENTE/ESTAG."/>
  </r>
  <r>
    <s v="FB0087799"/>
    <s v="Melhoria na visualização dos cames da roda de mandril (formação do fundo) "/>
    <s v="Fechado"/>
    <s v="Substituir a tampa de proteção dos cames para uma tampa em acrílico transparente para facilitar a visualização do alinhamento dos cames "/>
    <x v="31"/>
    <s v="Pequena mudança local"/>
    <s v="Qualidade"/>
    <x v="60"/>
    <s v="01. JDE CAFES DO BRASIL UNIDADE PIUMHI"/>
    <d v="2025-07-04T10:14:03"/>
    <s v="Andre Mendes Costa"/>
    <s v="IDEIAS-MELHORIA CONTÍNUA"/>
    <d v="2025-07-04T10:14:03"/>
    <s v="Fechado"/>
    <s v="ADM/TÉCNICO/ASSISTENTE/ESTAG."/>
  </r>
  <r>
    <s v="FB0087827"/>
    <s v=" INSTALAR JANELA DE INSPEÇÃO PARA ACESSO AOS REGISTROS DE CALOR DE CADA UMA DAS CÂMARAS DOS TORRADORES"/>
    <s v="Cancelado"/>
    <s v="AVALIAR POSSIBILIDADE DE INSTALAR UMA JANELA DE INSPEÇÃO PARA ACESSO AOS REGISTROS DE CALOR DAS CAMARAS DE TORRA (DUMPERS DE AR QUENTE) NA PARTE EXTERNA DA FORNALHA, (PRINCIPALMENTE PARA O DUMPER DA CAMARA 2 QUE FICA EM UM DUTO EM &quot;L&quot;). ISSO ELIMINARIA A NECESSIDADE DE ESPAÇO CONFINADO PARA REALIZAR A MANUTENÇÃO PREVENTIVA, PROPORCIONANDO REDUÇÃO DE TEMPO E ELIMINAÇÃO DE ATIVIDADE DE RISCO_x000a__x000a_OBS: AÇÃO SAIU DO FMEA00002 DO REGISTRO DE CALOR DO TORRADOR 1"/>
    <x v="30"/>
    <s v="Pequena mudança local"/>
    <s v="Safety - Health"/>
    <x v="61"/>
    <s v="01. TORRADORES"/>
    <d v="2025-05-20T11:20:10"/>
    <m/>
    <s v="IDEIAS-PROCESSOS"/>
    <d v="2025-05-20T11:20:10"/>
    <s v="Cancelado"/>
    <s v="ADM/TÉCNICO/ASSISTENTE/ESTAG."/>
  </r>
  <r>
    <s v="FB0087861"/>
    <s v="Cobertura para empilhadeira "/>
    <s v="Em andamento"/>
    <s v="A área demarcada em vermelho destaca áreas críticas do painel onde costuma infiltrar água toda vez que necessita jogar película na caçamba de resíduos do lado de fora._x000a_Quando molha o painel apresentam informações no mesmo de ordem elétrica,impedindo o funcionamento do equipamento. Creio que este equipamento não foi feito para se andar na chuva,pois uma cobertura sobre o equipamento já resolveria esta situação."/>
    <x v="11"/>
    <s v="Pequena mudança local"/>
    <s v="Organisation of work"/>
    <x v="62"/>
    <s v="01. CAFÉ CRU"/>
    <d v="2026-08-04T14:42:00"/>
    <s v="Flavia Silveira"/>
    <s v="APROVADORES DE IDEIAS"/>
    <m/>
    <s v="Aguardando Validação"/>
    <s v="OPERAÇÃO"/>
  </r>
  <r>
    <s v="FB0087866"/>
    <s v="RODÍZIO SOB OS TAMBORES DOS CICLONES "/>
    <s v="Fechado"/>
    <s v="Estes ciclones quando retirados do local para a limpeza são pesados,e para facilitar sua locomoção até o descarte seria ideal rodízios neles._x000a_Pois removê-los todos os dias é incômodo pois se faz movimentos semi-flexionados,causando dor na região lombar da coluna."/>
    <x v="11"/>
    <s v="Pequena mudança local"/>
    <s v="Safety - Health"/>
    <x v="63"/>
    <s v="01. CAFÉ CRU"/>
    <d v="2025-07-08T08:45:15"/>
    <s v="Caique Ventura"/>
    <s v="IDEIAS-CAFÉ CRÚ"/>
    <d v="2025-07-08T08:45:15"/>
    <s v="Fechado"/>
    <s v="OPERAÇÃO"/>
  </r>
  <r>
    <s v="FB0088026"/>
    <s v="MOP em constante EVOLUÇÃO "/>
    <s v="Fechado"/>
    <s v="IDEIA_x000a_Futuramente ter a opção de fazer nossos apontamentos com fotos .. podendo assim de uma maneira mais clara e objetiva para o entendimento de todos . Muitas vezes nós não sabemos com palavra explicar a REAL causa da parada. Facilitando assim o entendimento de todos _x000a__x000a_--------------------------------_x000a__x000a_FEEDBACKS _x000a_Giovanna - 18/12: Lais, o MOP não vamos conseguir trazer essa funcionalidade pos restrição de desenvolvimento e porque temos a questão da foto no DMOS. _x000a_Porém sua solicitação está muito em linha com algo que estamos pensando: estamos trabalhando para a ordem branca virar uma etiqueta do DMOS. Com isso, quando houver problema na máquina com atendimento técnico ou próprio operacional, o operador abrirá a etiqueta no DMOS (onde pode colocar foto) e colocará o número da etiqueta no apontamento do MOP, assim podemos ver a foto do problema, conforme sua solicitação!_x000a_Além disso, com base na sua ideia, vou programar com o time de CI, para pegarmos os códigos da árvore de perdas e de fato colocarmos fotos dos pontos para que seja um norte. (Relton, tocar isso, por favor)_x000a__x000a__x000a_Com esses dois pontos que não são exatamente a sua ideia mas entregam o mesmo valor eu vou aprovar a ideia, mas considerando as execuções acima, tudo bem? Quer adicionar algo mais? _x000a__x000a_--------------------------------_x000a__x000a__x000a__x000a_"/>
    <x v="32"/>
    <s v="Pequena mudança local"/>
    <s v="Cost (GE, rework)"/>
    <x v="64"/>
    <s v="01. JDE CAFES DO BRASIL UNIDADE PIUMHI"/>
    <d v="2025-07-08T08:48:40"/>
    <s v="Relton Moraes"/>
    <s v="IDEIAS-MELHORIA CONTÍNUA"/>
    <d v="2025-07-08T08:48:40"/>
    <s v="Fechado"/>
    <s v="OPERAÇÃO"/>
  </r>
  <r>
    <s v="FB0088085"/>
    <s v="Suporte para redução  de carga das calhas"/>
    <s v="Cancelado"/>
    <s v="Suporte para redução  de carga das calhas para não parar a rosca e  dar alarme"/>
    <x v="8"/>
    <s v="Pequena mudança local"/>
    <s v="Organisation of work"/>
    <x v="65"/>
    <s v="01. JDE CAFES DO BRASIL UNIDADE PIUMHI"/>
    <d v="2024-11-08T09:56:56"/>
    <m/>
    <s v="IDEIAS-MELHORIA CONTÍNUA"/>
    <d v="2024-11-08T09:56:56"/>
    <s v="Cancelado"/>
    <s v="OPERAÇÃO"/>
  </r>
  <r>
    <s v="FB0088140"/>
    <s v="suporte para redução de vazão das calhas"/>
    <s v="Fechado"/>
    <s v="suporte para redução de vazão das calhas, de recebimento café cru, para não parar a rosca e ocasionar alarme"/>
    <x v="10"/>
    <s v="Pequena mudança local"/>
    <s v="Cost (GE, rework)"/>
    <x v="66"/>
    <s v="01. CAFÉ CRU"/>
    <d v="2024-11-20T15:40:32"/>
    <m/>
    <s v="IDEIAS-CAFÉ CRÚ"/>
    <d v="2024-11-20T15:40:32"/>
    <s v="Fechado"/>
    <s v="OPERAÇÃO"/>
  </r>
  <r>
    <s v="FB0088323"/>
    <s v="Melhoria de Ponto de Aromatização da Película "/>
    <s v="Em andamento"/>
    <s v="Hoje atualmente os coletores de cinza são transportados para rosca de plana da película. Na rosca plana de película existe 2 pontos de aromatização, o segundo ponto conforme a foto ilustrada é bem ao lado onde a rosca inclinada de cinza recebe toda cinza coletada trazendo para a plana de película. Atualmente temos vários registros de obstrução no micro final da rosca inclinada de cinza que cai junto com a plana de película, essa obstrução ela ocorre devido que o ponto de aromatização de película é ao lado onde cai toda cinza, como a rosca de cinza trabalha em temperatura alta devido a cinza e como a aromatização é bem ao lado conforme a foto ocorre vapor e suando no berço da rosca e como a cinza vai empreguinando vai ocorrendo obstrução da cinza e encrostando até acionando do Micro do final da rosca de cinza._x000a_A ideia é mudar o ponto de aromatização da rosca plana de película para segunda foto ilustrada para que não ocorra essas diversas obstrução de cinza e assim reduzimos nossos impactos de MTBB e MTBF._x000a__x000a_Pedro Ferreira: Ideia pode ser realizada através da Manutenção, entretanto, caso não for possível, Rubens irá ficar responsável em solicitar orçamento."/>
    <x v="29"/>
    <s v="Pequena mudança local"/>
    <s v="Cost (GE, rework)"/>
    <x v="67"/>
    <s v="02. TORREFAÇÃO"/>
    <d v="2025-09-25T15:24:16"/>
    <s v="Rubens Teixeira"/>
    <s v="IDEIAS-PROCESSOS"/>
    <m/>
    <s v="Aguardando Orçamento"/>
    <s v="OPERAÇÃO"/>
  </r>
  <r>
    <s v="FB0088336"/>
    <s v="local de difícil acesso para limpeza"/>
    <s v="Cancelado"/>
    <s v="Acrílicos e tubo do arremessador de difícil acesso para limpeza na parte superior da Raumak 2_x000a__x000a_A ideia seria adicionar uma porta com NR para ter um acesso melhor ao arremessador e aos acrílicos do fundo._x000a__x000a_SHE: ideia aprovada. Proximos passos: 1-Orçar a mudança com o fornecedor (ENG); 2-Realizar a apreciação de risco NR-12 (+/- R$ 8.000); 3-Laudo de Proteção de Máquinas (NR-12);_x000a__x000a_Pedro Ferreira: Ideia será CANCELADA devido alto custo. "/>
    <x v="22"/>
    <s v="Pequena mudança local"/>
    <s v="Organisation of work"/>
    <x v="68"/>
    <s v="02. LINHA 02"/>
    <d v="2025-09-03T15:05:20"/>
    <m/>
    <s v="APROVADORES DE IDEIAS"/>
    <d v="2025-09-03T15:05:20"/>
    <s v="Cancelado"/>
    <s v="OPERAÇÃO"/>
  </r>
  <r>
    <s v="FB0088344"/>
    <s v="Espaço estreito "/>
    <s v="Resolvido"/>
    <s v="Coletor de variação de peso muito grande, dificultando bastante o ir e vir na linha. A posição dele é bem de frente a pilastra o que atrapalha ainda mais. Solicito diminuir o tamanho dele pelo tamanho padrão das outras fabrimas , pois a linha 03 já é bem pequena o que facilita a colisão em diversas vezes  com nosso corpo gerando algumas lesões "/>
    <x v="32"/>
    <s v="Pequena mudança local"/>
    <s v="Safety - Health"/>
    <x v="69"/>
    <s v="03. LINHA 03"/>
    <d v="2025-10-30T14:27:16"/>
    <s v="Michelle Faria"/>
    <s v="APROVADORES DE IDEIAS"/>
    <m/>
    <s v="Resolvido"/>
    <s v="OPERAÇÃO"/>
  </r>
  <r>
    <s v="FB0088501"/>
    <s v="Melhoria no óculos de segurança "/>
    <s v="Resolvido"/>
    <s v="Devido uso obrigatório de óculos de segurança para quaisquer atividades e como  EPI seria interessante adaptar todos os óculos com uma borracha de silicone ou outra do tipo para que não incomodar ao colocar sobre o nariz usaremos as borracha no desenho do encaixa das guia conforme a foto ilustrada._x000a_Essa nova adaptação seria para amenizar o incômodo de aperto das guia do óculos, já que os atuais não existi._x000a__x000a_SHE: Reprovado."/>
    <x v="29"/>
    <s v="Pequena mudança local"/>
    <s v="Safety - Health"/>
    <x v="70"/>
    <s v="09.19 SALA DE PRODUTOS QUÍMICOS "/>
    <d v="2026-03-18T09:35:32"/>
    <m/>
    <s v="IDEIAS-SHE"/>
    <m/>
    <s v="Resolvido"/>
    <s v="OPERAÇÃO"/>
  </r>
  <r>
    <s v="FB0088522"/>
    <s v="Placa Visual "/>
    <s v="Fechado"/>
    <s v="Colocar uma placa visual na linha de produção, procedimento de lavagem dos filtros para estabelecer a padronização da limpeza dos filtros."/>
    <x v="33"/>
    <s v="Pequena mudança local"/>
    <s v="Cost (GE, rework)"/>
    <x v="71"/>
    <s v="01. LINHA 01"/>
    <d v="2025-09-22T15:01:44"/>
    <s v="Pedro Ferreira"/>
    <s v="IDEIAS-VACUO"/>
    <d v="2025-09-22T15:01:44"/>
    <s v="Fechado"/>
    <s v="OPERAÇÃO"/>
  </r>
  <r>
    <s v="FB0088523"/>
    <s v="café no início do turno"/>
    <s v="Fechado"/>
    <s v="Seria muito bom chegar no turno e ter um café fresco , tem vezes que o café so fica pronto umas 23:00, o segundo turno poderia deixar uma garrafa pronta "/>
    <x v="19"/>
    <s v="Pequena mudança local"/>
    <s v="Organisation of work"/>
    <x v="72"/>
    <s v="06. ADMINISTRATIVO"/>
    <d v="2024-12-02T13:51:34"/>
    <s v="Ana Pereira"/>
    <s v="IDEIAS-ADMINISTRATIVO"/>
    <d v="2024-12-02T13:51:34"/>
    <s v="Fechado"/>
    <s v="OPERAÇÃO"/>
  </r>
  <r>
    <s v="FB0088563"/>
    <s v="Carrinho PKD"/>
    <s v="Resolvido"/>
    <s v="Fazer a compra de ou carrinho para agilizar a troca de produto, devido as bobinas serem grandes._x000a_Foi necessário utilizar o carrinho das fabrimas não adequado."/>
    <x v="33"/>
    <s v="Pequena mudança local"/>
    <s v="Product"/>
    <x v="73"/>
    <s v="01. LINHA 01"/>
    <d v="2025-04-05T12:10:57"/>
    <s v="Tiago Carvalho"/>
    <s v="IDEIAS-VACUO"/>
    <m/>
    <s v="Resolvido"/>
    <s v="OPERAÇÃO"/>
  </r>
  <r>
    <s v="FB0089309"/>
    <s v="Padronização dos batentes nas esteiras das fabrimas 2 e 3 e máquinas 4 e 5 "/>
    <s v="Fechado"/>
    <s v="Sugestão partiu da necessidade de padronização dos batentes nas esteiras das fab 2 e 3 e maq 4 e 5 de acordo com a da esteira da PKD , o que traria a devida segurança e facilidade para trabalho._x000a_O padrão seria igual o atual instalado na PKD conforme foto em anexo."/>
    <x v="34"/>
    <s v="Pequena mudança local"/>
    <s v="Processo"/>
    <x v="74"/>
    <s v="08. LOGISTICA"/>
    <d v="2025-06-27T10:52:33"/>
    <s v="Fabio A Oliveira"/>
    <s v="IDEIAS-LOGÍSTICA"/>
    <d v="2025-06-27T10:52:33"/>
    <s v="Fechado"/>
    <s v="ADM/TÉCNICO/ASSISTENTE/ESTAG."/>
  </r>
  <r>
    <s v="FB0089384"/>
    <s v="certificado "/>
    <s v="Fechado"/>
    <s v="Solicito que analisem a possibilidade de entregar certificado para os associados que concluírem o treinamento da apostila ( programa de capacitação) que deu início no mês de outubro. "/>
    <x v="35"/>
    <s v="Pequena mudança local"/>
    <s v="Organisation of work"/>
    <x v="75"/>
    <s v="04. EMPACOTAMENTO"/>
    <d v="2025-10-29T14:58:32"/>
    <s v="Luzia Rodrigues"/>
    <s v="APROVADORES DE IDEIAS"/>
    <d v="2025-10-29T14:58:32"/>
    <s v="Fechado"/>
    <s v="OPERAÇÃO"/>
  </r>
  <r>
    <s v="FB0089726"/>
    <s v="Fita de isolamento mais eficiente"/>
    <s v="Em andamento"/>
    <s v="A PROPOSTA DA IDEIA DE MELHORIA É SUBSTITUIR O USO DE FITA DE ISOLAMENTO DESCARTAVEL POR FITA RETRÁTIL, ESSA FITA RETRÁTIL SERIA INSTALADA POR MÁQUINA, DE FORMA QUE FAVOREÇA MUITAS CONFIGURAÇÕES DE ISOLAMENTO UTILIZANDO UM UNICO ISOLAMENTO._x000a__x000a_Com essa ideia mapiei os seguintes ganhos:_x000a_- Melhorar a eficiência do isolamento:_x000a_Proporcionar um posicionamento otimizado do suporte para fita de isolamento, garantindo sua utilização prática e eficaz._x000a_- Aumentar a agilidade no processo de isolamento:_x000a_Reduzir o tempo necessário para localizar e utilizar a fita, através de suportes individuais dedicados a cada máquina._x000a_- Garantir a execução consistente do isolamento:_x000a_Evitar falhas no processo devido à indisponibilidade ou dificuldade em encontrar o material necessário._x000a_- Promover a sustentabilidade:_x000a_Minimizar o consumo excessivo de fita plástica de isolamento, incentivando o uso racional do material._x000a__x000a_Demais associados envolvido na ideia: Alexandre Assis e Guilherme Oliveira _x000a__x000a_Giovanna - 18/12: Tiago, por favor, poderia avaliar essa alteração junto ao Guilherme? Creio que verba para tal pode ser para um teste piloto do Prog de ideias e depois da área de SHE, caso possuam. "/>
    <x v="36"/>
    <s v="Pequena mudança local"/>
    <s v="Safety - Health"/>
    <x v="76"/>
    <s v="06. ADMINISTRATIVO"/>
    <d v="2026-07-03T10:50:14"/>
    <s v="Tiago Carvalho"/>
    <s v="APROVADORES DE IDEIAS"/>
    <m/>
    <s v="Aguardando Orçamento"/>
    <s v="ADM/TÉCNICO/ASSISTENTE/ESTAG."/>
  </r>
  <r>
    <s v="FB0090012"/>
    <s v="Criar procedimento para abastecimento da maquina com café "/>
    <s v="Em andamento"/>
    <s v="Criar uma IT com passo a passo ensinando a abastecer a maquina com café empacotamento "/>
    <x v="31"/>
    <s v="Pequena mudança local"/>
    <s v="Processo"/>
    <x v="77"/>
    <s v="04. EMPACOTAMENTO"/>
    <d v="2024-12-18T15:29:05"/>
    <s v="Relton Moraes"/>
    <s v="APROVADORES DE IDEIAS"/>
    <m/>
    <s v="Aguardando Execução "/>
    <s v="ADM/TÉCNICO/ASSISTENTE/ESTAG."/>
  </r>
  <r>
    <s v="FB0090264"/>
    <s v="protecao de parada do pallet linha 04"/>
    <s v="Fechado"/>
    <s v="Fazer igual o da PKD"/>
    <x v="37"/>
    <s v="Pequena mudança local"/>
    <s v="Product"/>
    <x v="78"/>
    <s v="04. LINHA 04"/>
    <d v="2025-07-08T08:48:08"/>
    <s v="Fabio A Oliveira"/>
    <s v="APROVADORES DE IDEIAS"/>
    <d v="2025-07-08T08:48:08"/>
    <s v="Fechado"/>
    <s v="OPERAÇÃO"/>
  </r>
  <r>
    <s v="FB0090522"/>
    <s v="Criar procedimento para troca de teflon do tubo formador de pacotes "/>
    <s v="Fechado"/>
    <s v="Realizar a criação de um procedimento para troca de teflon do tubo formador de pacotes "/>
    <x v="31"/>
    <s v="Pequena mudança local"/>
    <s v="Processo"/>
    <x v="79"/>
    <s v="04. EMPACOTAMENTO"/>
    <d v="2025-09-19T13:22:55"/>
    <s v="Relton Moraes"/>
    <s v="APROVADORES DE IDEIAS"/>
    <d v="2025-09-19T13:22:55"/>
    <s v="Fechado"/>
    <s v="ADM/TÉCNICO/ASSISTENTE/ESTAG."/>
  </r>
  <r>
    <s v="FB0090523"/>
    <s v="Criar procedimento para corrigir a variação de peso das fabrimas "/>
    <s v="Em andamento"/>
    <s v="Criar procedimento para corrigir a variação de peso das fabrimas "/>
    <x v="31"/>
    <s v="Pequena mudança local"/>
    <s v="Processo"/>
    <x v="80"/>
    <s v="04. EMPACOTAMENTO"/>
    <d v="2025-09-19T13:38:43"/>
    <s v="Relton Moraes"/>
    <s v="APROVADORES DE IDEIAS"/>
    <m/>
    <s v="Aguardando Execução "/>
    <s v="ADM/TÉCNICO/ASSISTENTE/ESTAG."/>
  </r>
  <r>
    <s v="FB0090526"/>
    <s v="criar procedimento de troca do teflon da vertical da fabrima "/>
    <s v="Fechado"/>
    <s v="criar procedimento de troca do teflon da vertical da fabrima "/>
    <x v="31"/>
    <s v="Pequena mudança local"/>
    <s v="Processo"/>
    <x v="81"/>
    <s v="04. EMPACOTAMENTO"/>
    <d v="2025-09-19T13:41:14"/>
    <s v="Relton Moraes"/>
    <s v="APROVADORES DE IDEIAS"/>
    <d v="2025-09-19T13:41:14"/>
    <s v="Fechado"/>
    <s v="ADM/TÉCNICO/ASSISTENTE/ESTAG."/>
  </r>
  <r>
    <s v="FB0090527"/>
    <s v="Porta absorvente "/>
    <s v="Cancelado"/>
    <s v="Porta absorvente, banheiro feminino pra quando precisar"/>
    <x v="38"/>
    <s v="Pequena mudança local"/>
    <s v="Safety - Health"/>
    <x v="82"/>
    <s v="09.5 BANHEIROS "/>
    <d v="2025-09-08T11:29:58"/>
    <m/>
    <s v="IDEIAS-ADMINISTRATIVO"/>
    <d v="2025-09-08T11:29:58"/>
    <s v="Cancelado"/>
    <s v="OPERAÇÃO"/>
  </r>
  <r>
    <s v="FB0091085"/>
    <s v="CIL, no robô diário "/>
    <s v="Fechado"/>
    <s v="Colocar o CIL , no robô diário , pois não tem para a limpeza do chão "/>
    <x v="19"/>
    <s v="Pequena mudança local"/>
    <s v="Qualidade"/>
    <x v="83"/>
    <s v="05. LINHA 05"/>
    <d v="2025-08-04T06:00:56"/>
    <s v="Bianca Silva"/>
    <s v="APROVADORES DE IDEIAS"/>
    <d v="2025-08-04T06:00:56"/>
    <s v="Fechado"/>
    <s v="OPERAÇÃO"/>
  </r>
  <r>
    <s v="FB0091212"/>
    <s v="LOTOTO descarga café cru"/>
    <s v="Resolvido"/>
    <s v="ao realizar a auditoria de LOTOTO durante a descarga de café e observei algumas oportunidades. Atualmente não é aplicado corretamente, o claviculário fica em um ponto pouco estratégico e não traz a identidade visual do novo LOTOTO e sabemos que isso tem ligação direta com cultura. Então minha sugestão é a elaboração de um &quot;quadro de LOTOTO&quot; para esse ponto, além de incluirmos uma cadeado especifico para o uso do motorista, pois temos relatos de alguns deles serem relutante de deixar a chave do caminhão na mão de nossos operadores. _x000a__x000a_Acredito que a implementação dessa ideia contribuirá para a eficácia do procedimento_x000a__x000a_Demais associados envolvido na ideia: Ricardo Barbosa e Valdecir_x000a__x000a_SHE: o procedimento de LOTOTO se aplica a bloqueio de energia em máquinas e equipamentos. O processo de guarda e bloqueio da chave dos motoristas de carreta não se enquadra em LOTOTO. A pratica da guarda das chaves já é usada na logistica. Gentileza visistar a logistica e aplicar no café crú a pratica usada por eles._x000a__x000a_Ideia reprovada por SHE._x000a__x000a_"/>
    <x v="36"/>
    <s v="Pequena mudança local"/>
    <s v="Safety - Health"/>
    <x v="84"/>
    <s v="01. CAFÉ CRU"/>
    <d v="2026-05-06T11:32:36"/>
    <s v="Guilherme Oliveira"/>
    <s v="IDEIAS-CAFÉ CRÚ"/>
    <m/>
    <s v="Resolvido"/>
    <s v="ADM/TÉCNICO/ASSISTENTE/ESTAG."/>
  </r>
  <r>
    <s v="FB0091219"/>
    <s v="medicação para o terceiro turno "/>
    <s v="Resolvido"/>
    <s v="Sabemos que não podemos nus alto medicar sozinhos , mas quando alguém do turno está com algum tipo de dor ou desconforto, sempre solicitamos um colega quando não se tem o próprio medicamento, e quase sempre é dor de estômago ou analgésico, poderia alinhar com a coordenação algum tipo de instrução . Faz falta esse suporte ao turno._x000a__x000a_Giovanna - 18/12: Alice, poderia verificar o encaminhamento dessa sugestão? "/>
    <x v="19"/>
    <s v="Pequena mudança local"/>
    <s v="Safety - Health"/>
    <x v="85"/>
    <s v="04. EMPACOTAMENTO"/>
    <d v="2026-07-03T10:50:43"/>
    <s v="Alice Santos"/>
    <s v="APROVADORES DE IDEIAS"/>
    <m/>
    <s v="Resolvido"/>
    <s v="OPERAÇÃO"/>
  </r>
  <r>
    <s v="FB0091319"/>
    <s v="suporte para big bag"/>
    <s v="Em andamento"/>
    <s v="Solicitamos uma análise de criação de suporte para pendurar o big bag em casos de retirada de café do torrador 3. A forma que tem feito é: tira o café em um carrinho baixo pequeno depois passa para os carrinho grande e depois leva para o suporte fixo já existente perto das fabrimas para ganhar tempo é viável um suporte móvel nesse ponto. De preferência montar e desmontar para não ocupar espaço "/>
    <x v="9"/>
    <s v="Pequena mudança local"/>
    <s v="Organisation of work"/>
    <x v="86"/>
    <s v="02. TORREFAÇÃO"/>
    <d v="2025-06-19T09:28:11"/>
    <s v="Moises Costa"/>
    <s v="IDEIAS-PROCESSOS"/>
    <m/>
    <s v="Aguardando Execução "/>
    <s v="OPERAÇÃO"/>
  </r>
  <r>
    <s v="FB0091938"/>
    <s v="Criar procedimento para ajustar o tamanho do fardo "/>
    <s v="Em andamento"/>
    <s v="Criar procedimento para ajustar o tamanho do fardo raumak"/>
    <x v="31"/>
    <s v="Pequena mudança local"/>
    <s v="Processo"/>
    <x v="87"/>
    <s v="04. EMPACOTAMENTO"/>
    <d v="2025-09-19T13:39:21"/>
    <s v="Relton Moraes"/>
    <s v="APROVADORES DE IDEIAS"/>
    <m/>
    <s v="Aguardando Aprovação de CAPEX"/>
    <s v="ADM/TÉCNICO/ASSISTENTE/ESTAG."/>
  </r>
  <r>
    <s v="FB0091939"/>
    <s v="Criar procedimento retirar os fardos mal formados de dentro do robô"/>
    <s v="Em andamento"/>
    <s v="Criar procedimento retirar os fardos mal formados de dentro do robô"/>
    <x v="31"/>
    <s v="Pequena mudança local"/>
    <s v="Processo"/>
    <x v="88"/>
    <s v="06. PALETIZADORAS DE FARDOS"/>
    <d v="2024-12-18T15:28:20"/>
    <s v="Relton Moraes"/>
    <s v="APROVADORES DE IDEIAS"/>
    <m/>
    <s v="Aguardando Execução "/>
    <s v="ADM/TÉCNICO/ASSISTENTE/ESTAG."/>
  </r>
  <r>
    <s v="FB0091943"/>
    <s v="Criar procedimento de troca de bobina raumak"/>
    <s v="Fechado"/>
    <s v="Criar procedimento de troca de bobina raumak"/>
    <x v="31"/>
    <s v="Pequena mudança local"/>
    <s v="Processo"/>
    <x v="89"/>
    <s v="04. EMPACOTAMENTO"/>
    <d v="2025-09-19T13:41:51"/>
    <s v="Relton Moraes"/>
    <s v="APROVADORES DE IDEIAS"/>
    <d v="2025-09-19T13:41:51"/>
    <s v="Fechado"/>
    <s v="ADM/TÉCNICO/ASSISTENTE/ESTAG."/>
  </r>
  <r>
    <s v="FB0091975"/>
    <s v="Melhoria no procedimento de troca de bobina"/>
    <s v="Em andamento"/>
    <s v="no procedimento diz para o operador assim que trocar a bobina passar o filme com cafè porem nem sempre se possivel fazer dessa forma, devido a falha que pode gerar na fotocelula  IT-09-211"/>
    <x v="31"/>
    <s v="Pequena mudança local"/>
    <s v="Processo"/>
    <x v="90"/>
    <s v="04. EMPACOTAMENTO"/>
    <d v="2025-06-02T15:11:37"/>
    <s v="Relton Moraes"/>
    <s v="APROVADORES DE IDEIAS"/>
    <m/>
    <s v="Aguardando Execução "/>
    <s v="ADM/TÉCNICO/ASSISTENTE/ESTAG."/>
  </r>
  <r>
    <s v="FB0092008"/>
    <s v="montar um quadro onde conseguimos acompanhar os BOS e as etiquetas de SHE"/>
    <s v="Cancelado"/>
    <s v="A ideia é colocar esse quadro no lado de fora do contêiner da moagem do lado da porta, onde podemos estar acompanhando o fluxo das etiquetas de SHE e os BOS, faríamos ele por turno pra não ficar tudo junto e sabermos qual turno está menos engajado _x000a_Assim o pessoal ficaria mais atento pra não deixar de fazer e poderiam ajudar a lembra as pessoas que esqueceram de fazer _x000a_Nele poderias colocar o nome o turno dos associados, assim cada turno se organizar pra fazer e não esquecer _x000a__x000a__x000a_Aline: O ideal seria liberar nos tablets o acesso para verificação dessa informação direto pelo DMOS, liberando acesso a criar listas personalizadas, de acordo com a necessidade de cada área. "/>
    <x v="28"/>
    <s v="Pequena mudança local"/>
    <s v="Organisation of work"/>
    <x v="91"/>
    <s v="06. ADMINISTRATIVO"/>
    <d v="2025-06-17T15:09:01"/>
    <m/>
    <s v="IDEIAS-ADMINISTRATIVO"/>
    <d v="2025-06-17T15:09:01"/>
    <s v="Cancelado"/>
    <s v="OPERAÇÃO"/>
  </r>
  <r>
    <s v="FB0092210"/>
    <s v="Rodo de 1M (cabo) para limpeza torrador 3"/>
    <s v="Resolvido"/>
    <s v="Confeccionar rodo com cabo de 1M para limpeza do esfriador do torrador 3._x000a_chapa de 38cm(largura) X 18cm (altura) (igual a existente no café cru)_x000a_Confeccionar suporte para armazenamento_x000a__x000a_Pedro Ferreira: é necessário solicitar a orçamento para Padrimax. O material deve ser de tubo galvanizado. "/>
    <x v="10"/>
    <s v="Pequena mudança local"/>
    <s v="Safety - Health"/>
    <x v="92"/>
    <s v="03. TORRADOR 03"/>
    <d v="2026-05-22T13:53:14"/>
    <s v="Pedro Ferreira"/>
    <s v="IDEIAS-PROCESSOS"/>
    <m/>
    <s v="Resolvido"/>
    <s v="OPERAÇÃO"/>
  </r>
  <r>
    <s v="FB0092211"/>
    <s v="suporte para calha de recebimento de café cru"/>
    <s v="Fechado"/>
    <s v="Titular: Nilton Ferreira_x000a_fazer suporte para manter a calha na vertical de forma organizada, reduzindo o risco de segurança na área._x000a_Hiago solicitar orçamento ao paulinho"/>
    <x v="10"/>
    <s v="Pequena mudança local"/>
    <s v="Safety - Health"/>
    <x v="93"/>
    <s v="05. MOEGAS"/>
    <d v="2025-07-23T07:23:54"/>
    <m/>
    <s v="IDEIAS-CAFÉ CRÚ"/>
    <d v="2025-07-23T07:23:54"/>
    <s v="Fechado"/>
    <s v="OPERAÇÃO"/>
  </r>
  <r>
    <s v="FB0092212"/>
    <s v="escada para entrada e saída da carreta "/>
    <s v="Em andamento"/>
    <s v="Titular: Nilton Ferreira_x000a_fazer ou comprar uma escada de alumínio (tipo escada de piscina) para entrada e saida na carreta de café cru._x000a_Item levantado na auditoria de SHE e avaliado risco ergonômico._x000a__x000a_SHE: Foi feito a compra da escada e iremos implementa-la"/>
    <x v="10"/>
    <s v="Pequena mudança local"/>
    <s v="Safety - Health"/>
    <x v="94"/>
    <s v="05. MOEGAS"/>
    <d v="2026-04-16T15:36:21"/>
    <s v="Guilherme Oliveira"/>
    <s v="IDEIAS-CAFÉ CRÚ"/>
    <m/>
    <s v="Aguardando Execução "/>
    <s v="OPERAÇÃO"/>
  </r>
  <r>
    <s v="FB0092461"/>
    <s v="colocar uma plataforma na balança B2.3 e B2.4"/>
    <s v="Resolvido"/>
    <s v="E realizado limpeza nas balanças B2.3 e B2.4 de transporte de café torrado, no local é difícil de colocar escada e tem muita estrutura de ferro pode acontecer acidente. Se colocar uma plataforma como foi realizado do coletor de amostra do torrador 1 fazer o mesmo nas balanças B2.3 e B2.4°."/>
    <x v="2"/>
    <s v="Pequena mudança local"/>
    <s v="Safety - Health"/>
    <x v="95"/>
    <s v="01. TORRADORES"/>
    <d v="2026-05-20T15:58:47"/>
    <s v="Ana Martins"/>
    <s v="IDEIAS-PROCESSOS"/>
    <m/>
    <s v="Resolvido"/>
    <s v="OPERAÇÃO"/>
  </r>
  <r>
    <s v="FB0092502"/>
    <s v="melhoria na rosca densadora para impacto de densidade "/>
    <s v="Cancelado"/>
    <s v="Alteração na faixa de amperagem para aumentar o ajuste operacional e reduzir desarme da rosca (melhoria já implementada). Time: Alexandre Oliveira, Jader, Igor Souza, Marcão, Romero e Andyson"/>
    <x v="39"/>
    <s v="Pequena mudança local"/>
    <s v="Product"/>
    <x v="96"/>
    <s v="03. MOAGEM"/>
    <d v="2025-05-20T11:17:39"/>
    <m/>
    <s v="IDEIAS-PROCESSOS"/>
    <d v="2025-05-20T11:17:39"/>
    <s v="Cancelado"/>
    <s v="ADM/TÉCNICO/ASSISTENTE/ESTAG."/>
  </r>
  <r>
    <s v="FB0094453"/>
    <s v="Instalação de jabra/microfone na sala Piumhi"/>
    <s v="Fechado"/>
    <s v="Para conectar remoto em reuniões que acontecem na sala Piumhi (por exemplo OPS2) é conectado jabra. No entanto, o mesmo não possui boa captação de audio de todos presentes na sala, assim a interação remota na OPS 2 fica prejudicada._x000a_Sugestão é instalar um sistema de microfone e, se possível, junto à TV específico para conexão em reuniões."/>
    <x v="22"/>
    <s v="Pequena mudança local"/>
    <s v="Organisation of work"/>
    <x v="97"/>
    <s v="09.20 SALA DE REUNIÃO"/>
    <d v="2025-07-23T13:26:38"/>
    <s v="Ana Pereira"/>
    <s v="IDEIAS-ADMINISTRATIVO"/>
    <d v="2025-07-23T13:26:38"/>
    <s v="Fechado"/>
    <s v="OPERAÇÃO"/>
  </r>
  <r>
    <s v="FB0095351"/>
    <s v="barra da estrutura dos moinhos 1 ao 6"/>
    <s v="Cancelado"/>
    <s v="Risco de bater a cabeça, _x000a_Elaborar Junto com a galera de she se conseguimos fazer uma melhoria nela, como subi ela mais pra cima, fazer uma barra a mais e colocar uma cruzada com a outra tipo um X ou retirar ela mesmo, deixar sem em todos as estruturas dos moinhos._x000a__x000a_SHE: precisamos da avaliação estrutural para seguirmos com a autorização da remoção. Não temos o desenho técnico e nem laudo estrutural.  O objetivo é saber se remover essa estrutura iremos comprometer todo o conjunto. Gentileza direcionar para engenharia._x000a__x000a_Pedro Ferreira: Do ponto de vista da Engenharia, é necessário elaborar um laudo estrutural da viga, e se através desse, comprova a possiblidade de retirada da viga, entretanto, o valor deste laudo é alto. Será necessário pedir orçamento com a UNIQUE. Assim, Rubens ficará responsável em solicitar orçamento. "/>
    <x v="28"/>
    <s v="Pequena mudança local"/>
    <s v="Safety - Health"/>
    <x v="98"/>
    <s v="09.19 SALA DE PRODUTOS QUÍMICOS "/>
    <d v="2026-03-17T15:45:45"/>
    <m/>
    <s v="IDEIAS-SHE"/>
    <d v="2026-03-17T15:45:45"/>
    <s v="Cancelado"/>
    <s v="OPERAÇÃO"/>
  </r>
  <r>
    <s v="FB0095590"/>
    <s v="Desbloquear as torras quando ocorrer sobre temperatura na calha, sempre que esse alarme acontece as torras são bloqueadas não permitindo que continuemos tor…."/>
    <s v="Cancelado"/>
    <s v="Desbloquear as torras quando ocorrer “ sobre temperatura na calha “, sempre que esse alarme acontece as torras são bloqueadas não permitindo que continuemos torrando, sendo que seria necessário bloquear apenas o Cavaco para que impeça a temperatura de continuar subindo, até porque ao liberar as cargas ajuda a setar a temperatura no set point ideal ajudando a abaixar a temperatura. Esse ponto foi passado pelo João Cruz e serve de grande adianto para nós em não perder tanto tempo aguardando a temperatura abaixar. _x000a__x000a__x000a_SHE: Do ponto de vista de segurança não vejo problemas. Necessário validar com a engenharia a ideia._x000a__x000a__x000a_Pedro Ferreira: Melhoria mexe na lógica, rubens não tem certeza se tem como realizar e está tentando viabilizar, como não tem como cancelar depois de aprovado será mantida em rascunho até a resposta final e então aprovar e concluir ou cancelar!_x000a__x000a_Pedro Ferreira: No ponto de vista de Engenharia também é possível, entretanto, é necessário validação global do safety mais a alteração da logica dos torradores. Dessa forma, a ideia será CANCELADA, devido a alta complexidade e tempo. "/>
    <x v="40"/>
    <s v="Pequena mudança local"/>
    <s v="Cost (GE, rework)"/>
    <x v="99"/>
    <s v="02. TORREFAÇÃO"/>
    <d v="2025-09-03T14:55:57"/>
    <m/>
    <s v="IDEIAS-PROCESSOS"/>
    <d v="2025-09-03T14:55:57"/>
    <s v="Cancelado"/>
    <s v="OPERAÇÃO"/>
  </r>
  <r>
    <s v="FB0095595"/>
    <s v="Feedback"/>
    <s v="Cancelado"/>
    <s v="Facilities é uma área que sempre está aberta em resolver os itens que sugerimos . Muito fácil de trabalhar com pessoas que valorizam o tempo gasto na área para identificar os pontos de melhorias. "/>
    <x v="41"/>
    <s v="Pequena mudança local"/>
    <s v="Organisation of work"/>
    <x v="100"/>
    <s v="09.12 PÁTIO INTERNO"/>
    <d v="2025-04-22T15:53:26"/>
    <m/>
    <s v="IDEIAS-ADMINISTRATIVO"/>
    <d v="2025-04-22T15:53:26"/>
    <s v="Cancelado"/>
    <s v="ADM/TÉCNICO/ASSISTENTE/ESTAG."/>
  </r>
  <r>
    <s v="FB0096276"/>
    <s v="Bancada para amostras de café verde"/>
    <s v="Fechado"/>
    <s v="Implementação de uma bancada para colocar amostras de café verde, para facilitar a atividade de retiragem de amostras e otimizar o tempo de atividade que não agregam valor (voltas no setor descenessárias) + subir e descer escadas mais vezes que o necessário "/>
    <x v="42"/>
    <s v="Pequena mudança local"/>
    <s v="Organisation of work"/>
    <x v="101"/>
    <s v="01. CAFÉ CRU"/>
    <d v="2025-04-05T06:38:36"/>
    <s v="Izabela Pugliesi"/>
    <s v="IDEIAS-CAFÉ CRÚ"/>
    <d v="2025-04-05T06:38:36"/>
    <s v="Fechado"/>
    <s v="ADM/TÉCNICO/ASSISTENTE/ESTAG."/>
  </r>
  <r>
    <s v="FB0096684"/>
    <s v="coloca o ponto de almoço automático "/>
    <s v="Fechado"/>
    <s v="Coloca uma trava não possibilitando o associado bater o ponto antes de 60 minuto já existe em outras empresa_x000a__x000a_Fabrizia Soares: inciativa não está prevista para a Planta de Piumhi conforme orientação do Coorporativo. "/>
    <x v="9"/>
    <s v="Pequena mudança local"/>
    <s v="Cost (GE, rework)"/>
    <x v="102"/>
    <s v="01. JDE CAFES DO BRASIL UNIDADE PIUMHI"/>
    <d v="2025-07-23T07:18:47"/>
    <s v="Fabrizia Soares"/>
    <s v="IDEIAS-MELHORIA CONTÍNUA"/>
    <d v="2025-07-23T07:18:47"/>
    <s v="Fechado"/>
    <s v="OPERAÇÃO"/>
  </r>
  <r>
    <s v="FB0096825"/>
    <s v="PIS e COFINS"/>
    <s v="Fechado"/>
    <s v="IDEIA _x000a_Sugiro que seja realizada uma avaliação acerca da oportunidade do aproveitamento do incentivo fiscal relacionado à planta (PIS e COFINS) para materiais de almoxarifado, materiais e serviços de manutenção, bem como utilidades. Tenho ciência de que todos os itens essenciais e primordiais para o processo produtivo são passíveis de crédito, e essa informação já foi repassada às equipes de almoxarifado e manutenção. No entanto, é necessário compreender se estamos fazendo o uso adequado desse benefício fiscal. Caso não esteja sendo plenamente aproveitado, é fundamental iniciar a utilização de forma adequada e eficiente._x000a__x000a_Gentileza encaminhar essa ideia ao Ricardo Nischida, já tive a oportunidade de adiantar a ideia com ele._x000a__x000a_APROVAÇÃO _x000a_Ana, excelente ideia. Obrigada por trazer clareza, inclusive já sinalizando ao próprio Ricardo. "/>
    <x v="43"/>
    <s v="Pequena mudança local"/>
    <s v="Cost (GE, rework)"/>
    <x v="103"/>
    <s v="01. JDE CAFES DO BRASIL UNIDADE PIUMHI"/>
    <d v="2025-07-07T11:30:01"/>
    <s v="Ricardo Nishida"/>
    <s v="IDEIAS-MELHORIA CONTÍNUA"/>
    <d v="2025-07-07T11:30:01"/>
    <s v="Fechado"/>
    <s v="ADM/TÉCNICO/ASSISTENTE/ESTAG."/>
  </r>
  <r>
    <s v="FB0097919"/>
    <s v="Robô da 4 é 5"/>
    <s v="Cancelado"/>
    <s v="Na questão do robô da 4 e 5 sugiro que todos os turnos fizessem a limpeza diária de varrer só tirar o excesso de café no chão ou pacote estourado tirassem, para manter limpo, pois a limpeza do CIL mensal do robô é do 3 turno, a cola gruda muito e suja muito de café, eu sugiro que por favor levante essa questão para todos nós da Fábrica, para nós operadores auxiliares fazessem uma limpeza diária no início de cada turno essa limpeza pode até ser feito na hora do CIL DAS FABRIMAS enquanto um faz a limpeza das fabrimas o outro vai lá e limpa é questão de 2min para limpar, Que todos nós pudessem reconhecer está questão, para ajudar um ao outro , serei grata se essa ideia fossem aplicadas nas áreas, principalmente no robô da 2 e 3 e da PKD, mesmo que não suja muito"/>
    <x v="23"/>
    <s v="Pequena mudança local"/>
    <s v="Organisation of work"/>
    <x v="104"/>
    <s v="05. LINHA 05"/>
    <d v="2025-06-13T00:14:32"/>
    <m/>
    <s v="APROVADORES DE IDEIAS"/>
    <d v="2025-06-13T00:14:32"/>
    <s v="Cancelado"/>
    <s v="OPERAÇÃO"/>
  </r>
  <r>
    <s v="FB0098422"/>
    <s v="alteração da altura do trilho suporte da régua (altura)"/>
    <s v="Fechado"/>
    <s v="Centerlining consta que o valor de trabalho é 174 até 189 ,porém no máximo de trabalho que operadores usam corretamente é 174 de régua o mínimo e o máximo 180 que seria o valor correto de trabalho , o valor acima de 182 apresenta pacote com fundo amassado e o aumento de tamanho causando problemas na entrada da encaixotadora, sendo assim abertura das guia de entrada."/>
    <x v="6"/>
    <s v="Pequena mudança local"/>
    <s v="Cost (GE, rework)"/>
    <x v="105"/>
    <s v="01. LINHA 01"/>
    <d v="2025-10-30T14:18:59"/>
    <s v="Ricardo Nishida"/>
    <s v="IDEIAS-VACUO"/>
    <d v="2025-10-30T14:18:59"/>
    <s v="Fechado"/>
    <s v="OPERAÇÃO"/>
  </r>
  <r>
    <s v="FB0098431"/>
    <s v="Realizar nova Demarcação "/>
    <s v="Fechado"/>
    <s v="Realizar nova demarcação na seladora fitas , pois foi alterado o posicionamento da mesma para esquadrejar a caixa box para melhor posição do robô para melhorar a sucção da caixa . Decisão foi tomada pela manutenção. Após a modificação houve melhora da pressão das unidades geradoras de vácuo."/>
    <x v="1"/>
    <s v="Pequena mudança local"/>
    <s v="Cost (GE, rework)"/>
    <x v="106"/>
    <s v="01. LINHA 01"/>
    <d v="2025-03-05T15:35:17"/>
    <s v="Relton Moraes"/>
    <s v="IDEIAS-VACUO"/>
    <d v="2025-03-05T15:35:17"/>
    <s v="Fechado"/>
    <s v="OPERAÇÃO"/>
  </r>
  <r>
    <s v="FB0098441"/>
    <s v="PARCEIRIA COM LAKE PARK "/>
    <s v="Resolvido"/>
    <s v="IDEIA_x000a__x000a_No passado tivemos uma parceria com o PTC, por um breve período. Muitos associados não conseguiram se associar por ser um valor bem considerável. Em Capitólio temos o Lake Park, no hotel Balneário do Lago, é um lugar muito bacana para ir com a família, divertido, aconchegante e pertinho de Piumhi.  _x000a_Eu já tive desconto no ingresso por ser associada do Sicoob Credialto. Acredito que talvez a gente consiga uma parceria para os associados terem desconto na compra de ingressos. É uma opção excelente de passeio nos finais de semana, certeza que em algum momento todos os associados conseguiriam aproveitar, já que não seria um compromisso mensal, apenas quando quiserem/puderem ir. _x000a__x000a_APROVAÇÃO_x000a_Aline, obrigada pela sugestão. Eu vou aprovar, a priori, pois imagino ser possível investigar algo, mas garantido mesmo somente com a análise e aprovação da Fabrizia, que precisaria discutir com o time de benefícios.  Vou adicioná-la para poder colocá-la no fluxo. _x000a__x000a_Fabrizia Soares: inciativa não está prevista para a Planta de Piumhi conforme orientação do Coorporativo. "/>
    <x v="44"/>
    <s v="Pequena mudança local"/>
    <s v="Organisation of work"/>
    <x v="107"/>
    <s v="06. ADMINISTRATIVO"/>
    <d v="2026-07-14T10:33:51"/>
    <s v="Fabrizia Soares"/>
    <s v="APROVADORES DE IDEIAS"/>
    <m/>
    <s v="Resolvido"/>
    <s v="ADM/TÉCNICO/ASSISTENTE/ESTAG."/>
  </r>
  <r>
    <s v="FB0099243"/>
    <s v="Melhorar guia de loto (etapa teste) para ar comprimido"/>
    <s v="Fechado"/>
    <s v="Trago  novamente aqui a sugestão de alteração dos guias de loto na etapa do teste. Já mais de 2 vezes me foi reportado que o teste - especialmente nos pontos de ar onde o cadeado vai direto no manômetro - é feito ativando a pistola de ar, para remover energia acumulada e também vendo se a pressão do ar zerou no manômetro. Todos os mapas seguem com o &quot;forçar a válvula&quot; somente - que se aplica aos pontos que requerem o dispositivo vermelho. Hoje, me parece que temos mais travamentos diretos do que na válvula, então é importante atualizar a guia. Já sinto que essa etapa muitas vezes é ignorada nas explicações, e tendo os documentos não atualizados vejo uma fragilidade ainda maior para cobrarmos. _x000a__x000a_"/>
    <x v="13"/>
    <s v="Pequena mudança local"/>
    <s v="Safety - Health"/>
    <x v="108"/>
    <s v="01. JDE CAFES DO BRASIL UNIDADE PIUMHI"/>
    <d v="2025-07-23T08:23:01"/>
    <s v="Guilherme Oliveira"/>
    <s v="IDEIAS-MELHORIA CONTÍNUA"/>
    <d v="2025-07-23T08:23:01"/>
    <s v="Fechado"/>
    <s v="ADM/TÉCNICO/ASSISTENTE/ESTAG."/>
  </r>
  <r>
    <s v="FB0099246"/>
    <s v="Projeção de pó no teto da PKD"/>
    <s v="Resolvido"/>
    <s v="Foi observado aumento da quantidade de pó presente no teto da PKD e na estrutura da plataforma do mezanino (amarela)._x000a_Tem-se a hipótese de que os exaustores estejam criando um fluxo de ar no interior da máquina vindo dos dosadores para a roda de mandril. Caso, isto seja comprovado como causa, a sugestão de melhoria é instalar um policarbonato isolando a região dos mandris para impedir o fluxo de ar._x000a_Este fechamento deve considerar desmontagem para limpeza diária/mensal e para manutenções."/>
    <x v="22"/>
    <s v="Pequena mudança local"/>
    <s v="Cost (GE, rework)"/>
    <x v="109"/>
    <s v="01. LINHA 01"/>
    <d v="2025-10-09T14:03:39"/>
    <s v="Natalia De Mendonca"/>
    <s v="IDEIAS-VACUO"/>
    <m/>
    <s v="Resolvido"/>
    <s v="OPERAÇÃO"/>
  </r>
  <r>
    <s v="FB0099331"/>
    <s v="Atualização Mapa de Ajustes "/>
    <s v="Fechado"/>
    <s v="Realizar uma atualização de valores nos pontos marcados no mapa de Ajustes._x000a_Valores esses Estabelecidos por Mário Rizo após manutenção ._x000a_Pontos esses ._x000a_* Transferência de pacotes _x000a_* Alimentação ( tesoura)_x000a__x000a_Relton: foi realizado verificação dos parâmetros na maquina, agora e confrontar os parâmetros que foram anotados com o do mapa de ajuste e avaliar a alteração do mapa_x000a_"/>
    <x v="1"/>
    <s v="Pequena mudança local"/>
    <s v="Cost (GE, rework)"/>
    <x v="110"/>
    <s v="01. LINHA 01"/>
    <d v="2025-12-02T09:34:05"/>
    <s v="Moises Costa"/>
    <s v="IDEIAS-VACUO"/>
    <d v="2025-12-02T09:34:05"/>
    <s v="Fechado"/>
    <s v="OPERAÇÃO"/>
  </r>
  <r>
    <s v="FB0100096"/>
    <s v="Melhoria sensor da troca de Silo"/>
    <s v="Fechado"/>
    <s v="Melhoria na posição do sinal luminoso da IHM do alpino para facilitar a troca de Silo _x000a_Sugestão mudar a posição do sinal luminoso para o outro lado do alpino onde fica bem em frente da mesa do borracheiro de 0 hora _x000a_"/>
    <x v="38"/>
    <s v="Pequena mudança local"/>
    <s v="Cost (GE, rework)"/>
    <x v="111"/>
    <s v="01. LINHA 01"/>
    <d v="2025-08-15T08:20:21"/>
    <s v="Andre Mendes Costa"/>
    <s v="IDEIAS-VACUO"/>
    <d v="2025-08-15T08:20:21"/>
    <s v="Fechado"/>
    <s v="OPERAÇÃO"/>
  </r>
  <r>
    <s v="FB0100105"/>
    <s v="Troca das cores do manômetro "/>
    <s v="Resolvido"/>
    <s v="Troca das cores do manômetro PKD não tem visibilidade na cor preta _x000a__x000a_----_x000a__x000a_Resposta: Pedro Ferreira_x000a__x000a_Ideia em execução, falta pedir os manômetros e aguardar preventiva, para troca dos mesmos. "/>
    <x v="38"/>
    <s v="Pequena mudança local"/>
    <s v="Processo"/>
    <x v="112"/>
    <s v="01. LINHA 01"/>
    <d v="2026-06-29T08:15:46"/>
    <s v="Andre Mendes Costa"/>
    <s v="APROVADORES DE IDEIAS"/>
    <m/>
    <s v="Resolvido"/>
    <s v="OPERAÇÃO"/>
  </r>
  <r>
    <s v="FB0100115"/>
    <s v="apertar aparas"/>
    <s v="Cancelado"/>
    <s v="Algum utensílio específico para apertar as pontas de aparas , pois usam a vassoura , e faz falta ela na linha "/>
    <x v="19"/>
    <s v="Pequena mudança local"/>
    <s v="Organisation of work"/>
    <x v="113"/>
    <s v="01. LINHA 01"/>
    <d v="2025-06-09T14:06:20"/>
    <m/>
    <s v="IDEIAS-VACUO"/>
    <d v="2025-06-09T14:06:20"/>
    <s v="Cancelado"/>
    <s v="OPERAÇÃO"/>
  </r>
  <r>
    <s v="FB0100188"/>
    <s v="instalar botoeira de emergencia na esteira do zero hora"/>
    <s v="Resolvido"/>
    <s v="DEV0167850_x000a_Falta sistema de parada de emergência nessa esteira na PKD_x000a__x000a_PROJETO DE SEGURANÇA/ENGENHARIA_x000a__x000a_- Pedro Ferreira: _x000a_Foi alinhado com o Guilherme e a parte de realização deve ser destinada ao André. "/>
    <x v="22"/>
    <s v="Pequena mudança local"/>
    <s v="Safety - Health"/>
    <x v="114"/>
    <s v="01. LINHA 01"/>
    <d v="2026-09-11T12:54:47"/>
    <s v="Andre Mendes Costa"/>
    <s v="APROVADORES DE IDEIAS"/>
    <m/>
    <s v="Resolvido"/>
    <s v="OPERAÇÃO"/>
  </r>
  <r>
    <s v="FB0100516"/>
    <s v="implementar um corrimão ou uma barreira "/>
    <s v="Cancelado"/>
    <s v="Implementar uma barreira separando os paletes de caixa do borracheiro ,pois percebi que a movimentação da empilhadeira fica muito perto do colaborador que está fazendo a atividade do borracheiro correndo risco de atropelamento _x000a__x000a_Comentário:_x000a_A área de segregação não é permitido a entrada das empilhadeiras, assim, a movimentação dentro da área deve ser somente com palheteiras _x000a_Obs: Comunicar com o time de almoxarifado e Hiago. "/>
    <x v="45"/>
    <s v="Pequena mudança local"/>
    <s v="Safety - Health"/>
    <x v="115"/>
    <s v="01. LINHA 01"/>
    <d v="2025-05-16T11:13:04"/>
    <m/>
    <s v="IDEIAS-VACUO"/>
    <d v="2025-05-16T11:13:04"/>
    <s v="Cancelado"/>
    <s v="OPERAÇÃO"/>
  </r>
  <r>
    <s v="FB0100990"/>
    <s v="rolete de data da fabrima 2"/>
    <s v="Resolvido"/>
    <s v="Ao manusear o rolete para arrumar a codificação, o dedo acaba sendo meio espremido devido do rolete do corte ficar próximo do rolete da data ,sugiro que afaste uns dos roletes só um pouquinho para ficar mais fácil de manusear"/>
    <x v="23"/>
    <s v="Pequena mudança local"/>
    <s v="Safety - Health"/>
    <x v="116"/>
    <s v="02. LINHA 02"/>
    <d v="2025-07-01T16:20:57"/>
    <s v="Igor Sousa"/>
    <s v="APROVADORES DE IDEIAS"/>
    <m/>
    <s v="Resolvido"/>
    <s v="OPERAÇÃO"/>
  </r>
  <r>
    <s v="FB0101211"/>
    <s v="Carrinho do detector de metal PKD"/>
    <s v="Resolvido"/>
    <s v="Realizar mudanças no acoplamento da mangueira do carrinho do detector de metal PKD como os dos torradores do rejeito do cablevey como a da foto sugerida para facilitar o acesso com o aspirador para limpezas pôs hoje não consegue passar com aspirador devido ao tamanho do carrinho e a mangueira ficar presa na carcaça e não tem espaço para movimentação . Com o modelo de acoplamento sugerido poderíamos tirá-lo do local para a passagem do aspirador "/>
    <x v="1"/>
    <s v="Pequena mudança local"/>
    <s v="Organisation of work"/>
    <x v="117"/>
    <s v="01. LINHA 01"/>
    <d v="2026-03-06T16:22:36"/>
    <s v="Ruth Ribeiro"/>
    <s v="IDEIAS-VACUO"/>
    <m/>
    <s v="Resolvido"/>
    <s v="OPERAÇÃO"/>
  </r>
  <r>
    <s v="FB0102062"/>
    <s v="material de embalagem no mop"/>
    <s v="Fechado"/>
    <s v="Fazer as anotações das embalagens no mop_x000a_Pontos positivo_x000a_Mais rápido para o operador fazer_x000a__x000a_Melhor Rastreabilidade para a qualidade e almoxarifado _x000a__x000a_Relton: Melhoria do Mop esta em andamento."/>
    <x v="35"/>
    <s v="Pequena mudança local"/>
    <s v="Organisation of work"/>
    <x v="118"/>
    <s v="02. LINHA 02"/>
    <d v="2025-10-30T09:55:17"/>
    <s v="Relton Moraes"/>
    <s v="APROVADORES DE IDEIAS"/>
    <d v="2025-03-17T09:49:45"/>
    <s v="Fechado"/>
    <s v="OPERAÇÃO"/>
  </r>
  <r>
    <s v="FB0102437"/>
    <s v="Iluminação de parte traseira (corredor) da PKD "/>
    <s v="Fechado"/>
    <s v="Colocar uma iluminação em uma parte escura traseira da PKD. Hoje há uma luz no teto, que é pequena e portanto, não clareia essa parte (ver foto). Ao lado há uma luz maior que ajuda a clarear dentro da máquna no ponto imediatamente abaixo. A sugestão é: _x000a_- colocar uma luz maior também nesse ponto onde a luz é pequena e ver se clareia a parte interna que sinalizei_x000a_ou _x000a_-instalar uma luz interna para clarear._x000a_São áreas que os operadores precisam facilmente conseguir visualizar a máquina"/>
    <x v="13"/>
    <s v="Pequena mudança local"/>
    <s v="Cost (GE, rework)"/>
    <x v="119"/>
    <s v="01. LINHA 01"/>
    <d v="2025-10-16T13:39:04"/>
    <s v="Leandro Freire"/>
    <s v="IDEIAS-VACUO"/>
    <d v="2025-10-16T13:39:04"/>
    <s v="Fechado"/>
    <s v="ADM/TÉCNICO/ASSISTENTE/ESTAG."/>
  </r>
  <r>
    <s v="FB0102890"/>
    <s v="software relacionado a codificação das fabrimas"/>
    <s v="Em andamento"/>
    <s v="compra de software para conseguir travar o acesso a codificação das fabrimas."/>
    <x v="46"/>
    <s v="Pequena mudança local"/>
    <s v="Processo"/>
    <x v="120"/>
    <s v="05. LINHA 05"/>
    <d v="2025-04-25T11:18:14"/>
    <s v="Henrique Cardoso"/>
    <s v="APROVADORES DE IDEIAS"/>
    <m/>
    <s v="Aguardando Aprovação de CAPEX"/>
    <s v="ADM/TÉCNICO/ASSISTENTE/ESTAG."/>
  </r>
  <r>
    <s v="FB0102911"/>
    <s v="Colocar um braço móvel"/>
    <s v="Fechado"/>
    <s v="Colocar braço móvel para colocar a etiqueta ,para evitar pessoas no local de manobra de Empilhadeira,tirando risco de atropelamento _x000a__x000a_Resposta: Pedro Ferreira _x000a_Houve aprovação do time de SHE, assim, é necessário criar o equipamento flexível para inserir, assim, deve realizar orçamento com PADRIMAX, ou buscar na internet fontes alternativas para realizar a melhoria._x000a_"/>
    <x v="47"/>
    <s v="Pequena mudança local"/>
    <s v="Safety - Health"/>
    <x v="121"/>
    <s v="08. LOGISTICA"/>
    <d v="2025-06-19T10:48:31"/>
    <s v="Fabio A Oliveira"/>
    <s v="IDEIAS-LOGÍSTICA"/>
    <d v="2025-06-19T10:48:31"/>
    <s v="Fechado"/>
    <s v="OPERAÇÃO"/>
  </r>
  <r>
    <s v="FB0102939"/>
    <s v="TREINAMENTO SCRIPT"/>
    <s v="Fechado"/>
    <s v="IDEIA_x000a_Ofertar treinamento de criação de scripts no SAP, para auxiliar e acelerar as demandas diárias. _x000a__x000a_APROVAÇÃO _x000a_Aline, estou aprovando sua ideia e podemos pensar em como criar uma academia interna sobre. Estou colocando a Luzia na ideia para nos ajudar a elaborar a proposta no segundo semestre. "/>
    <x v="44"/>
    <s v="Pequena mudança local"/>
    <s v="Organisation of work"/>
    <x v="122"/>
    <s v="01. JDE CAFES DO BRASIL UNIDADE PIUMHI"/>
    <d v="2026-05-28T12:14:27"/>
    <s v="Luzia Rodrigues"/>
    <s v="IDEIAS-MELHORIA CONTÍNUA"/>
    <d v="2026-05-28T12:14:27"/>
    <s v="Fechado"/>
    <s v="ADM/TÉCNICO/ASSISTENTE/ESTAG."/>
  </r>
  <r>
    <s v="FB0103691"/>
    <s v="mudar câmara fria de lugar"/>
    <s v="Fechado"/>
    <s v="Colocar câmara fria em frente à PKD _x000a__x000a_Pedro Ferreira: Essa ideia é de alto custo, dessa forma, sugiro que de sugestão de um projeto para execução da mesma. "/>
    <x v="48"/>
    <s v="Pequena mudança local"/>
    <s v="Safety - Health"/>
    <x v="123"/>
    <s v="01. LINHA 01"/>
    <d v="2025-07-23T11:18:14"/>
    <s v="Rubens Teixeira"/>
    <s v="IDEIAS-VACUO"/>
    <d v="2025-07-23T11:18:14"/>
    <s v="Fechado"/>
    <s v="OPERAÇÃO"/>
  </r>
  <r>
    <s v="FB0103726"/>
    <s v="válvula esfera "/>
    <s v="Em andamento"/>
    <s v="Em uma auditoria com a Geovana na PKD chegamos a conclusão que é necessário um passo a passo para realizar o bloqueio em alguns pontos que tem na área da PKD. O QE do quadro de loto não está funcionando e o mais viável é colocar o passo a passo nos pontos de bloqueio que é utilizado a válvula esférica _x000a__x000a_09/09: Verificando viabilidade com time de SHE_x000a__x000a_SHE: Aprovado. criar um bloqueio especifico para este esquivamento. Ele não faz parte da PKD. Previsão de conclusão 30/11/2025. "/>
    <x v="35"/>
    <s v="Pequena mudança local"/>
    <s v="Safety - Health"/>
    <x v="124"/>
    <s v="01. LINHA 01"/>
    <d v="2026-05-12T14:07:33"/>
    <s v="Tiago Carvalho"/>
    <s v="IDEIAS-VACUO"/>
    <m/>
    <s v="Aguardando Execução "/>
    <s v="OPERAÇÃO"/>
  </r>
  <r>
    <s v="FB0103941"/>
    <s v="mudar no cil a limpeza das correias colocar somente com água "/>
    <s v="Fechado"/>
    <s v="Atualizar no cil limpeza das correias somente pra água "/>
    <x v="49"/>
    <s v="Pequena mudança local"/>
    <s v="Processo"/>
    <x v="125"/>
    <s v="04. LINHA 04"/>
    <d v="2025-12-18T10:03:28"/>
    <s v="Bianca Silva"/>
    <s v="APROVADORES DE IDEIAS"/>
    <d v="2025-12-18T10:03:28"/>
    <s v="Fechado"/>
    <s v="OPERAÇÃO"/>
  </r>
  <r>
    <s v="FB0104088"/>
    <s v="quadro de utensílios de limpeza "/>
    <s v="Cancelado"/>
    <s v="Colocar quadro de utensílios de limpeza exclusivo para peneiras"/>
    <x v="22"/>
    <s v="Pequena mudança local"/>
    <s v="Organisation of work"/>
    <x v="126"/>
    <s v="09. PENEIRAS"/>
    <d v="2025-06-03T10:49:05"/>
    <m/>
    <s v="IDEIAS-PROCESSOS"/>
    <d v="2025-06-03T10:49:05"/>
    <s v="Cancelado"/>
    <s v="OPERAÇÃO"/>
  </r>
  <r>
    <s v="FB0104140"/>
    <s v="Peneira vibratória para moega de reprocesso da moagem"/>
    <s v="Resolvido"/>
    <s v="IDEIA _x000a__x000a_Utilizar uma peneira elétrica para peneirar o café na moega, isso vai fazer com que haja redução do tempo e melhoria no esforço do auxiliar/operador, visto que para esse processo requer tempo e uma peneira com tamanho ideal parta que o café não caia no chão. Logo, com a aplicação da peneira elétrica, o seu tamanho é dimensionada em relação a abertura da moega.  _x000a__x000a_---------_x000a__x000a_APROVAÇÃO _x000a_Pedro, por favor, pode verificar com algum técnico um protótipo ou pesquisar uma solução de mercado (a Verde equipamentos que você cita abaixo tem?). Precisamos de algum anexo e referência para providenciar sua solução. "/>
    <x v="46"/>
    <s v="Pequena mudança local"/>
    <s v="Processo"/>
    <x v="127"/>
    <s v="03. MOAGEM"/>
    <d v="2025-10-29T09:17:01"/>
    <s v="Pedro Ferreira"/>
    <s v="IDEIAS-PROCESSOS"/>
    <m/>
    <s v="Resolvido"/>
    <s v="ADM/TÉCNICO/ASSISTENTE/ESTAG."/>
  </r>
  <r>
    <s v="FB0104186"/>
    <s v="Novo ponto de CIL"/>
    <s v="Fechado"/>
    <s v="Adicionar no CIL MEnsal das Fabrimas o ponto C de limpeza do sensor dos robôs com um pano seco (SEM USAR SABÃO) _x000a__x000a_IDEIA JÁ EXECUTADA"/>
    <x v="20"/>
    <s v="Pequena mudança local"/>
    <s v="Cost (GE, rework)"/>
    <x v="128"/>
    <s v="04. EMPACOTAMENTO"/>
    <d v="2025-07-08T08:47:22"/>
    <m/>
    <s v="APROVADORES DE IDEIAS"/>
    <d v="2025-07-08T08:47:22"/>
    <s v="Fechado"/>
    <s v="ADM/TÉCNICO/ASSISTENTE/ESTAG."/>
  </r>
  <r>
    <s v="FB0104288"/>
    <s v="Atualização no formulário da PKD "/>
    <s v="Fechado"/>
    <s v="Adicionar uma parte de &quot;vibração&quot; em todos os silos que trocarem, ou seja, caso peguem algum café ruim consigamos controlar pela vibração e ver o que aconteceu (máquina ou moinho). "/>
    <x v="20"/>
    <s v="Pequena mudança local"/>
    <s v="Cost (GE, rework)"/>
    <x v="129"/>
    <s v="01. LINHA 01"/>
    <d v="2025-07-08T08:50:40"/>
    <s v="Bianca Silva"/>
    <s v="IDEIAS-VACUO"/>
    <d v="2025-07-08T08:50:40"/>
    <s v="Fechado"/>
    <s v="ADM/TÉCNICO/ASSISTENTE/ESTAG."/>
  </r>
  <r>
    <s v="FB0104299"/>
    <s v="Funil de alimentação do quarteador de café verde"/>
    <s v="Fechado"/>
    <s v="fazer um funil para jogar a amostra de café no quarteador sem precisar descer da plataforma da moega._x000a_melhora da condição ergonômica para jogar o café"/>
    <x v="22"/>
    <s v="Pequena mudança local"/>
    <s v="Safety - Health"/>
    <x v="130"/>
    <s v="01. CAFÉ CRU"/>
    <d v="2025-04-05T06:42:13"/>
    <s v="Arthur Silva"/>
    <s v="IDEIAS-CAFÉ CRÚ"/>
    <d v="2025-04-05T06:42:13"/>
    <s v="Fechado"/>
    <s v="OPERAÇÃO"/>
  </r>
  <r>
    <s v="FB0104714"/>
    <s v="INSTALAR TOMADA 110V NO MOS ACADEMY, PARA CONECTAR TELEVISÃO E CAIXA DE SOM EM EVENTOS/ REUNIÕES."/>
    <s v="Fechado"/>
    <s v="IDEIA_x000a_INSTALAR TOMADA 110V NO MOS ACADEMY, PARA CONECTAR TELEVISÃO E CAIXA DE SOM EM EVENTOS/ REUNIÕES._x000a__x000a_--------_x000a__x000a_APROVAÇÃO _x000a_Obrigada, Ana, pela ideia. Estou aprovando para seguirmos. Pedro, levantar com o Lucas Obrien os materiais e passar para o PCM na reunião de etiquetas. "/>
    <x v="43"/>
    <s v="Pequena mudança local"/>
    <s v="Organisation of work"/>
    <x v="131"/>
    <s v="01. JDE CAFES DO BRASIL UNIDADE PIUMHI"/>
    <d v="2025-06-16T11:04:01"/>
    <s v="Pedro Ferreira"/>
    <s v="IDEIAS-MELHORIA CONTÍNUA"/>
    <d v="2025-06-16T11:04:01"/>
    <s v="Fechado"/>
    <s v="ADM/TÉCNICO/ASSISTENTE/ESTAG."/>
  </r>
  <r>
    <s v="FB0104724"/>
    <s v="elevador de canecas 1 e 3 está com vazamento de café"/>
    <s v="Resolvido"/>
    <s v="Falado com o mecânico de colocar uma chapa em baixo pra conter o vazamento ( soldar ela ali pro café não ficar caindo no chão) _x000a_Ou até fazer como ficou lá no elevador 2 troca a caixote deles "/>
    <x v="28"/>
    <s v="Pequena mudança local"/>
    <s v="Organisation of work"/>
    <x v="132"/>
    <s v="03. MOAGEM"/>
    <d v="2026-06-15T13:44:52"/>
    <s v="Anderson Santana"/>
    <s v="IDEIAS-PROCESSOS"/>
    <m/>
    <s v="Resolvido"/>
    <s v="OPERAÇÃO"/>
  </r>
  <r>
    <s v="FB0104961"/>
    <s v="Melhorias Visuais - CIL PKD"/>
    <s v="Fechado"/>
    <s v="Para facilitar a marcação no quadro de rotina diária (OPS1) de MOS poderia ser colocado no roda pé do CIL a quantidade de pontos de limpeza e inspeção e o tempo programado afim de garantir uma marcação real no quadro e agilizar o processo para que não haja necessidade de contagem diária pelos operadores "/>
    <x v="1"/>
    <s v="Pequena mudança local"/>
    <s v="Organisation of work"/>
    <x v="133"/>
    <s v="01. LINHA 01"/>
    <d v="2025-12-18T10:05:52"/>
    <s v="Bianca Silva"/>
    <s v="IDEIAS-VACUO"/>
    <d v="2025-12-18T10:05:52"/>
    <s v="Fechado"/>
    <s v="OPERAÇÃO"/>
  </r>
  <r>
    <s v="FB0105022"/>
    <s v="ligar coleiro "/>
    <s v="Cancelado"/>
    <s v="Domingo de star , quando for empacotar canaleta fechada  , poderia alinhar com a manutenção do segundo ,para ligar o coleiro , pois ele demora em média até 02:00 para aquecer por completo , e iniciando. Produção  muito tarde "/>
    <x v="19"/>
    <s v="Pequena mudança local"/>
    <s v="Cost (GE, rework)"/>
    <x v="134"/>
    <s v="04. LINHA 04"/>
    <d v="2025-06-13T04:40:32"/>
    <s v="Leandro Freire"/>
    <s v="APROVADORES DE IDEIAS"/>
    <d v="2025-06-13T04:40:32"/>
    <s v="Cancelado"/>
    <s v="OPERAÇÃO"/>
  </r>
  <r>
    <s v="FB0105203"/>
    <s v="Troca de silo automática no silo de pó"/>
    <s v="Em andamento"/>
    <s v="Realizar a troca de silo sem a necessidade do operador, baseada na troca de silo do torrador em café crú._x000a_Com o sensor instalado no silo de pó acusando final de silo a troca seria automática para o próximo silo, seria como uma lista pré existente dos silos disponíveis, que seria alimentada pelo operador de moagem."/>
    <x v="50"/>
    <s v="Pequena mudança local"/>
    <s v="Cost (GE, rework)"/>
    <x v="135"/>
    <s v="04. EMPACOTAMENTO"/>
    <d v="2025-04-22T14:49:28"/>
    <s v="Igor Sousa"/>
    <s v="APROVADORES DE IDEIAS"/>
    <m/>
    <s v="Aguardando Validação"/>
    <s v="OPERAÇÃO"/>
  </r>
  <r>
    <s v="FB0105365"/>
    <s v="coletora de amostra de café em pó ( melhoria cada grão conta )"/>
    <s v="Fechado"/>
    <s v="Ideia, Trazer a trava do café até o fim, assim  evitaria cair café no chão _x000a_Usar a mesma trava que já tem só adapta ela pra ficar na ponta agora _x000a_Ou usa a mesma trava que tem em baixo das densadora como na segunda imagem _x000a_"/>
    <x v="28"/>
    <s v="Pequena mudança local"/>
    <s v="Yeld"/>
    <x v="136"/>
    <s v="03. MOAGEM"/>
    <d v="2026-01-14T15:17:51"/>
    <s v="Ricardo Nishida"/>
    <s v="IDEIAS-PROCESSOS"/>
    <d v="2026-01-14T15:17:51"/>
    <s v="Fechado"/>
    <s v="OPERAÇÃO"/>
  </r>
  <r>
    <s v="FB0106168"/>
    <s v="Acrescentar novo campo de informação "/>
    <s v="Fechado"/>
    <s v="Acrescentar um novo campo de informação de operador com a informação._x000a_Operador PKD :_x000a_Operador Encaixotadora:_x000a_Pois  a revezamento entre os operadores , com podemos contratar melhor as informações de determinada máquina caso seja necessário "/>
    <x v="1"/>
    <s v="Pequena mudança local"/>
    <s v="Organisation of work"/>
    <x v="137"/>
    <s v="01. LINHA 01"/>
    <d v="2025-07-01T10:21:19"/>
    <s v="Moises Costa"/>
    <s v="IDEIAS-VACUO"/>
    <d v="2025-07-01T10:21:19"/>
    <s v="Fechado"/>
    <s v="OPERAÇÃO"/>
  </r>
  <r>
    <s v="FB0106189"/>
    <s v="DEMARCAÇÕES 5S"/>
    <s v="Em andamento"/>
    <s v="Em todos os pontos que for possível, realizar a pintura do chão, para evitar a necessidade de troca constante de fitas. _x000a__x000a_Verificar a possibilidade de comprar as formas e o Caluan realizar a pintura."/>
    <x v="44"/>
    <s v="Pequena mudança local"/>
    <s v="Organisation of work"/>
    <x v="138"/>
    <s v="06. ADMINISTRATIVO"/>
    <d v="2026-07-03T10:51:29"/>
    <s v="Aline Fernandes"/>
    <s v="APROVADORES DE IDEIAS"/>
    <m/>
    <s v="Aguardando Execução "/>
    <s v="ADM/TÉCNICO/ASSISTENTE/ESTAG."/>
  </r>
  <r>
    <s v="FB0106228"/>
    <s v="a fita ."/>
    <s v="Resolvido"/>
    <s v="A fita está balançando ._x000a__x000a_RETORNO:_x000a_[LUZIA] Acredito que seja possível redirecionar a posição do ventilador antes de seguir com a análise da instalação do acrilico. Manufatura avaliar."/>
    <x v="51"/>
    <s v="Pequena mudança local"/>
    <s v="Organisation of work"/>
    <x v="139"/>
    <s v="01. LINHA 01"/>
    <d v="2026-08-31T10:22:31"/>
    <s v="Ana Martins"/>
    <s v="APROVADORES DE IDEIAS"/>
    <m/>
    <s v="Resolvido"/>
    <s v="OPERAÇÃO"/>
  </r>
  <r>
    <s v="FB0106229"/>
    <s v="implementar fonte de energia tomada para os aspiradores de pó"/>
    <s v="Fechado"/>
    <s v="Ter mais acessibilidade para os operadores realizar as atividades diárias de limpeza, como a utilização dos equipamentos fornecidos para nosso uso, facilitando nosso dia a dia como operação para a limpeza das Raumaks e acredito que na linha no geral, porque o aspirador não conecta em qualquer tipo de tomada."/>
    <x v="22"/>
    <s v="Pequena mudança local"/>
    <s v="Organisation of work"/>
    <x v="140"/>
    <s v="05. LINHA 05"/>
    <d v="2025-07-01T11:39:11"/>
    <m/>
    <s v="APROVADORES DE IDEIAS"/>
    <d v="2025-07-01T11:39:11"/>
    <s v="Fechado"/>
    <s v="OPERAÇÃO"/>
  </r>
  <r>
    <s v="FB0106337"/>
    <s v="Tomada na área da Raumak 04"/>
    <s v="Fechado"/>
    <s v="Idea para a implementação de uma tomada propria para o aspirador de pó das Linhas 04 e 05 próximo à raumk. Pois atualmente não conseguimos usar o aspirador na raumak porque a tomada fica na fabrima._x000a__x000a_Impacto: Melhor limpeza da máquina e redução de falhas causadas por sujeria._x000a__x000a_Material necessário: Tomada de 20A e 50m cabo de 3 vias PP 2,5mm². _x000a__x000a_Mão obra: _x000a_-&gt; 08h x 2 eletrônicos para executar. Empacotametno parado - vai desligar o painel._x000a__x000a_Preferencialmente Jader pois ele já está alinhado da atividade."/>
    <x v="0"/>
    <s v="Pequena mudança local"/>
    <s v="Cost (GE, rework)"/>
    <x v="141"/>
    <s v="04. LINHA 04"/>
    <d v="2025-07-01T09:42:11"/>
    <s v="Priscilla Araujo"/>
    <s v="APROVADORES DE IDEIAS"/>
    <d v="2025-07-01T09:42:11"/>
    <s v="Fechado"/>
    <s v="OPERAÇÃO"/>
  </r>
  <r>
    <s v="FB0106340"/>
    <s v="cil de consulta"/>
    <s v="Em andamento"/>
    <s v="Cil de consulta fixado na Raumak e fabrima (em uma bolsa, plastificado igual ao Centerlining da Fabrima)_x000a__x000a_Motivo: quando o operador chega no início do turno ele executa o CIL e neste momento o formulário do CIL está ou no container (para ser assinado) ou no com o controlador (para ser lançado). Com isso o operador não tem a clareza de todos pontos que precisa limpar naquele dia em específico a não ser que ele se recorde da programação completa (existem atividades que acontecem em alguns dias e turnos específicos)._x000a__x000a_"/>
    <x v="52"/>
    <s v="Pequena mudança local"/>
    <s v="Organisation of work"/>
    <x v="142"/>
    <s v="05. LINHA 05"/>
    <d v="2026-09-11T13:04:05"/>
    <s v="Valeria Yanez"/>
    <s v="APROVADORES DE IDEIAS"/>
    <m/>
    <s v="Aguardando Execução "/>
    <s v="OPERAÇÃO"/>
  </r>
  <r>
    <s v="FB0106357"/>
    <s v="troca fixação da mesa de revisão "/>
    <s v="Fechado"/>
    <s v="Fazer troca de fixação da mesa de revisão de vácuo "/>
    <x v="52"/>
    <s v="Pequena mudança local"/>
    <s v="Safety - Health"/>
    <x v="143"/>
    <s v="01. LINHA 01"/>
    <d v="2025-10-30T09:05:24"/>
    <s v="Leandro Freire"/>
    <s v="IDEIAS-VACUO"/>
    <d v="2025-10-30T09:05:24"/>
    <s v="Fechado"/>
    <s v="OPERAÇÃO"/>
  </r>
  <r>
    <s v="FB0106416"/>
    <s v="Bandeja para retirada de cavaco."/>
    <s v="Fechado"/>
    <s v="Solicito junto a She, manufatura,engenharia e manutenção uma melhoria para retirada de Cavaco, poderia ser uma bandeja com rodinhas para melhor manuseio na retirada do cavaco._x000a__x000a_Aguardo retorno para resolução do problema._x000a__x000a_PEDRO FERREIRA: Foi conversado com a manutenção e estamos aguardando orçamento"/>
    <x v="53"/>
    <s v="Pequena mudança local"/>
    <s v="Cost (GE, rework)"/>
    <x v="144"/>
    <s v="01. CAFÉ CRU"/>
    <d v="2025-09-05T11:27:10"/>
    <s v="Henrique Cardoso"/>
    <s v="IDEIAS-CAFÉ CRÚ"/>
    <d v="2025-09-05T11:27:10"/>
    <s v="Fechado"/>
    <s v="OPERAÇÃO"/>
  </r>
  <r>
    <s v="FB0106437"/>
    <s v="criar ponto superior de tomada para o ventilador"/>
    <s v="Resolvido"/>
    <s v="criar ponto superior de tomada para o ventilador, para eliminar cabo electric o no chão._x000a_a ideia é usar o suporte que se encontra na parede mais a frente, ele era usado para a seladora de fitas, antigo ponto de revisão de vácuo _x000a_"/>
    <x v="45"/>
    <s v="Pequena mudança local"/>
    <s v="Safety - Health"/>
    <x v="145"/>
    <s v="05. LINHA 05"/>
    <d v="2025-10-29T11:21:54"/>
    <s v="Ana Martins"/>
    <s v="APROVADORES DE IDEIAS"/>
    <m/>
    <s v="Resolvido"/>
    <s v="OPERAÇÃO"/>
  </r>
  <r>
    <s v="FB0106811"/>
    <s v="Baldes de Inox para rejeitos das peneiras"/>
    <s v="Em andamento"/>
    <s v="Ideia para baldes de inox para as peneiras da PKD,Fabrimas 2,3,4 e 5 visando padronização e melhoria na questão de limpeza._x000a_Atualmente os baldes não são padronizados e possuem vazamentos. Além do aspecto visual."/>
    <x v="0"/>
    <s v="Pequena mudança local"/>
    <s v="Qualidade"/>
    <x v="146"/>
    <s v="04. EMPACOTAMENTO"/>
    <d v="2026-09-17T14:30:03"/>
    <s v="Flavia Silveira"/>
    <s v="APROVADORES DE IDEIAS"/>
    <m/>
    <s v="Aguardando Orçamento"/>
    <s v="OPERAÇÃO"/>
  </r>
  <r>
    <s v="FB0106969"/>
    <s v="Sensor  troca de silo sonoro visual "/>
    <s v="Fechado"/>
    <s v="Instalação de sensor para troca de silo nas fábrimas, igual ao instalado na PKD para não perdermos tanto tempo nas trocas de silo e levantarmos nosso GE, termos uma eficácia maior na nossa gestão durante nosso processo e em nossos turnos._x000a__x000a_Pedro Ferreira: _x000a__x000a_Ideia em execução, já foi comprado as sirenes e aguardamos a manutenção realizar a instalação. "/>
    <x v="22"/>
    <s v="Pequena mudança local"/>
    <s v="Processo"/>
    <x v="147"/>
    <s v="04. EMPACOTAMENTO"/>
    <d v="2025-10-03T11:29:54"/>
    <s v="Wallace Pereira"/>
    <s v="APROVADORES DE IDEIAS"/>
    <d v="2025-10-03T11:29:54"/>
    <s v="Fechado"/>
    <s v="OPERAÇÃO"/>
  </r>
  <r>
    <s v="FB0106983"/>
    <s v="ponto de tomada"/>
    <s v="Cancelado"/>
    <s v="Ponto de tomada para as limpezas dos moinhos durante a preventiva pois hoje precisa usar extensão, ponto de tomada fica longe e ponto de energia do moinho fica bloqueado no lototo_x000a__x000a_Não conseguimos fazer interno, necessário acionar Marzinho"/>
    <x v="3"/>
    <s v="Pequena mudança local"/>
    <s v="Organisation of work"/>
    <x v="148"/>
    <s v="03. MOAGEM"/>
    <d v="2025-07-15T09:20:00"/>
    <m/>
    <s v="IDEIAS-PROCESSOS"/>
    <d v="2025-07-15T09:20:00"/>
    <s v="Cancelado"/>
    <s v="OPERAÇÃO"/>
  </r>
  <r>
    <s v="FB0106984"/>
    <s v="Sensor de presença "/>
    <s v="Resolvido"/>
    <s v="Coloca mais um sensor de presença para informar o nível das aparas no IHM, evitando que a máquina pare por excesso de aparas._x000a__x000a_Pedro Ferreira: Já existe um sensor, entretanto, esse sensor fica na tubulação para impedir que as aparas obstrua a máquina. Portanto, essa ideia será CANCELADA. "/>
    <x v="33"/>
    <s v="Pequena mudança local"/>
    <s v="Processo"/>
    <x v="149"/>
    <s v="07. LINHA 07"/>
    <d v="2025-07-14T11:29:48"/>
    <s v="Igor Sousa"/>
    <s v="IDEIAS-PROCESSOS"/>
    <m/>
    <s v="Resolvido"/>
    <s v="OPERAÇÃO"/>
  </r>
  <r>
    <s v="FB0106988"/>
    <s v="Peneira 1,2 e 3"/>
    <s v="Fechado"/>
    <s v="Peneira 1,2 e 3, Ao fazer a inspeção das peneiras tem que levar varremesa,pá e vassoura, a minha ideia é que pudesse ter um quadro onde fica a vasssoura e a pá e os varremesa que nem no empacotamento, para facilitar ao levar pois facilitaria ao subir as escadas e segurar nos corrimãos "/>
    <x v="23"/>
    <s v="Pequena mudança local"/>
    <s v="Safety - Health"/>
    <x v="150"/>
    <s v="09. PENEIRAS"/>
    <d v="2025-06-10T09:57:09"/>
    <s v="Aline Fernandes"/>
    <s v="IDEIAS-PROCESSOS"/>
    <d v="2025-06-10T09:57:09"/>
    <s v="Fechado"/>
    <s v="OPERAÇÃO"/>
  </r>
  <r>
    <s v="FB0106991"/>
    <s v="mentalidade de dono segurança por turno "/>
    <s v="Cancelado"/>
    <s v="A ideia é dar suporte de BOS por turno , EX : cada turno ter alguém para dar suporte em comportamento de segurança, onde às vezes uma pessoa pode acreditar que não tem ninguém fazendo observações ou até mesmo orientá-lo sobre segurança e de como realizá-lo com segurança, sobre IPs, _x000a_Ter uma pessoa específica para ser responsável pelo amadurecimento do time por inteiro de comportamento de segurança. _x000a__x000a_SHE: em relçação ao suporto do turno o proprio coordenador é capaz de orientar e o assistente está sendo treinado. As outras frentes o coordenador e o assistente pode contribuir tambem com este tema. Paralelamente temos o projeto Comportamento que esta na segunda onda onde estão sendo formados mais associados em relação a condução e aplicação do BOS de maneira mais assertiva. A operação participará na terceira onda."/>
    <x v="19"/>
    <s v="Pequena mudança local"/>
    <s v="Organisation of work"/>
    <x v="151"/>
    <s v="09.19 SALA DE PRODUTOS QUÍMICOS "/>
    <d v="2025-06-17T10:50:00"/>
    <m/>
    <s v="IDEIAS-SHE"/>
    <d v="2025-06-17T10:50:01"/>
    <s v="Cancelado"/>
    <s v="OPERAÇÃO"/>
  </r>
  <r>
    <s v="FB0106993"/>
    <s v="pontos de CIL "/>
    <s v="Resolvido"/>
    <s v="Essa parte do CIL , sobre roletes não são feitas diariamente, e sim semanalmente ou quando ter paradas grandes  sobre os roletes ( poderia ser considerada)"/>
    <x v="19"/>
    <s v="Pequena mudança local"/>
    <s v="Cost (GE, rework)"/>
    <x v="152"/>
    <s v="05. LINHA 05"/>
    <d v="2025-12-16T04:56:50"/>
    <s v="Bianca Silva"/>
    <s v="APROVADORES DE IDEIAS"/>
    <m/>
    <s v="Resolvido"/>
    <s v="OPERAÇÃO"/>
  </r>
  <r>
    <s v="FB0106994"/>
    <s v="cabeçote de impressão "/>
    <s v="Resolvido"/>
    <s v="Esssa parte não é feita uma limpeza diária e sim quando da problema no datador ou troca de borracha "/>
    <x v="19"/>
    <s v="Pequena mudança local"/>
    <s v="Cost (GE, rework)"/>
    <x v="153"/>
    <s v="05. LINHA 05"/>
    <d v="2025-08-20T00:11:17"/>
    <s v="Bianca Silva"/>
    <s v="APROVADORES DE IDEIAS"/>
    <m/>
    <s v="Resolvido"/>
    <s v="OPERAÇÃO"/>
  </r>
  <r>
    <s v="FB0106995"/>
    <s v="elevador de fardos "/>
    <s v="Cancelado"/>
    <s v="Não é limpeza feita diária "/>
    <x v="19"/>
    <s v="Pequena mudança local"/>
    <s v="Processo"/>
    <x v="154"/>
    <s v="05. LINHA 05"/>
    <d v="2025-06-09T14:43:38"/>
    <m/>
    <s v="APROVADORES DE IDEIAS"/>
    <d v="2025-06-09T14:43:39"/>
    <s v="Cancelado"/>
    <s v="OPERAÇÃO"/>
  </r>
  <r>
    <s v="FB0106996"/>
    <s v="base do robô "/>
    <s v="Cancelado"/>
    <s v="Somente é feita a limpeza do robô na área do chão diária , a base somente final de mês pelo terceiro"/>
    <x v="19"/>
    <s v="Pequena mudança local"/>
    <s v="Qualidade"/>
    <x v="155"/>
    <s v="05. LINHA 05"/>
    <d v="2025-06-09T14:36:10"/>
    <m/>
    <s v="APROVADORES DE IDEIAS"/>
    <d v="2025-06-09T14:36:10"/>
    <s v="Cancelado"/>
    <s v="OPERAÇÃO"/>
  </r>
  <r>
    <s v="FB0107019"/>
    <s v="Peneira vibratória para moega de reprocesso da moagem"/>
    <s v="Fechado"/>
    <s v="IDEIA _x000a__x000a_Utilizar uma peneira elétrica para peneirar o café na moega, isso vai fazer com que haja redução do tempo e melhoria no esforço do auxiliar/operador, visto que para esse processo requer tempo e uma peneira com tamanho ideal parta que o café não caia no chão. Logo, com a aplicação da peneira elétrica, o seu tamanho é dimensionada em relação a abertura da moega.  _x000a__x000a_---------_x000a__x000a_APROVAÇÃO _x000a_Pedro, por favor, pode verificar com algum técnico um protótipo ou pesquisar uma solução de mercado (a Verde equipamentos que você cita abaixo tem?). Precisamos de algum anexo e referência para providenciar sua solução. "/>
    <x v="46"/>
    <s v="Pequena mudança local"/>
    <s v="Processo"/>
    <x v="156"/>
    <s v="01. MOINHO 01"/>
    <d v="2025-10-09T13:52:56"/>
    <m/>
    <s v="IDEIAS-PROCESSOS"/>
    <d v="2025-10-09T13:52:56"/>
    <s v="Fechado"/>
    <s v="ADM/TÉCNICO/ASSISTENTE/ESTAG."/>
  </r>
  <r>
    <s v="FB0107079"/>
    <s v="manômetro de pressão "/>
    <s v="Fechado"/>
    <s v="Pressão do mordente baixo causando mordaça durante turnos ,foi acionado eletrônico para aumentar para 5 a pressão do manômetro, acrescentar inspeção e demarcação no centerling para evitar futuros problemas relacionado a isso_x000a__x000a_Relton: esse manômetro não se refere ao manômetro dos mordentes, esse manômetro da imagem e o ar comprimido que chega no equipamento e vai pra todos os componentes da máquina.  _x000a__x000a_o manômetro dos mordentes ja tem CL "/>
    <x v="25"/>
    <s v="Pequena mudança local"/>
    <s v="Processo"/>
    <x v="157"/>
    <s v="05. LINHA 05"/>
    <d v="2025-10-15T08:20:39"/>
    <s v="Relton Moraes"/>
    <s v="APROVADORES DE IDEIAS"/>
    <d v="2025-10-15T08:20:39"/>
    <s v="Fechado"/>
    <s v="OPERAÇÃO"/>
  </r>
  <r>
    <s v="FB0107098"/>
    <s v="Uma das bombas de vácuo , desliga com frequência "/>
    <s v="Fechado"/>
    <s v="A bomba de vácuo 01 desliga com frequência, causando risco de perda de vácuo,  o IHM deveria acusar para a máquina parar, mas isso não acontece. Minha sugestão é que talvez  colocar, uma sirene em cada bomba assim o operador visualiza quando a bomba der qualquer sinal._x000a__x000a_Pedro Ferreira: quando o disjuntor desarma ou ocorre alguma falha na bomba, já gera um alarme na IHM da PKD, porém, esse alarme só não aciona quando está desabilitada pelo operador. Portanto, a ideia será CANCELADA. Mas, favor verificar se o erro persiste, caso sim, poderia abrir uma etiqueta. "/>
    <x v="54"/>
    <s v="Pequena mudança local"/>
    <s v="Cost (GE, rework)"/>
    <x v="158"/>
    <s v="01. LINHA 01"/>
    <d v="2025-07-23T11:17:45"/>
    <s v="Igor Sousa"/>
    <s v="IDEIAS-VACUO"/>
    <d v="2025-07-23T11:17:45"/>
    <s v="Fechado"/>
    <s v="OPERAÇÃO"/>
  </r>
  <r>
    <s v="FB0107101"/>
    <s v="raspadores das peneiras rotativas  "/>
    <s v="Resolvido"/>
    <s v="Tentar fazer o corte no raspador menor para que possa ter  duas ou mais regulagem , antes da troca do mesmo._x000a__x000a_ANA MARTINS: Já estamos verificando a possibilidade de comprar a peça dos raspadores inteira para realizarmos os cortes aqui na manutenção."/>
    <x v="37"/>
    <s v="Pequena mudança local"/>
    <s v="Cost (GE, rework)"/>
    <x v="159"/>
    <s v="04. LINHA 04"/>
    <d v="2025-09-30T11:02:52"/>
    <s v="Ana Martins"/>
    <s v="APROVADORES DE IDEIAS"/>
    <m/>
    <s v="Resolvido"/>
    <s v="OPERAÇÃO"/>
  </r>
  <r>
    <s v="FB0107106"/>
    <s v="Banco de Dados de Projetos"/>
    <s v="Fechado"/>
    <s v="Criar um banco de dados de projetos para que se tenha informações de projetos anteriores que forma considerados inviáveis no momento, mas que tem informções importates para novos projetos._x000a__x000a_RETORNO:_x000a_[LUZIA] Criamos o cadastro de projetos de 2025 e todos os projetos cadastrados serão alocados em uma pasta no sharepoint da planta para consolidação de informações sobre o mesmo. Acredito que já seja um início de construção deste banco que poderá ter melhorias futuras."/>
    <x v="55"/>
    <s v="Pequena mudança local"/>
    <s v="Organisation of work"/>
    <x v="160"/>
    <s v="01. JDE CAFES DO BRASIL UNIDADE PIUMHI"/>
    <d v="2026-03-13T18:32:31"/>
    <s v="Giovanna Biffaratte"/>
    <s v="IDEIAS-MELHORIA CONTÍNUA"/>
    <d v="2026-03-13T18:32:31"/>
    <s v="Fechado"/>
    <s v="ADM/TÉCNICO/ASSISTENTE/ESTAG."/>
  </r>
  <r>
    <s v="FB0107553"/>
    <s v="Melhoria grade de proteção fabrima 2"/>
    <s v="Fechado"/>
    <s v="Fazer mudança na grade de proteção para que o associado não precise sair com o corpo para fora para colocar a etiqueta do palete no pregador, correndo o risco de atropelamento._x000a__x000a_-----_x000a__x000a_APROVAÇÃO: _x000a__x000a_Aprovação de manutenção e SHE, dessa forma, a parte de cortar a grande é possível realizar mais rapidamente._x000a_ _x000a_Entretanto, a segunda parte, no robô da PKD, manutenção disse que vai estudar a melhor forma de resolver a solicitação. _x000a_-Pedro Ferreira: Ideia já orçada e aguardando PADRIMAX parta execução._x000a_ "/>
    <x v="47"/>
    <s v="Pequena mudança local"/>
    <s v="Safety - Health"/>
    <x v="161"/>
    <s v="08. LOGISTICA"/>
    <d v="2025-06-09T16:07:23"/>
    <s v="Fabio A Oliveira"/>
    <s v="IDEIAS-LOGÍSTICA"/>
    <d v="2025-06-09T16:07:23"/>
    <s v="Fechado"/>
    <s v="OPERAÇÃO"/>
  </r>
  <r>
    <s v="FB0107583"/>
    <s v="Escaninho para folhas de papel área de revisão "/>
    <s v="Fechado"/>
    <s v="Colocar um escaninho de papel, afim de guardar as folhas de revisão dos retorno de paletes, assim podendo reaproveitar as folhas eliminando desperdício e melhora no controle de limpeza da área "/>
    <x v="56"/>
    <s v="Pequena mudança local"/>
    <s v="Organisation of work"/>
    <x v="162"/>
    <s v="08. LOGISTICA"/>
    <d v="2025-06-27T10:33:15"/>
    <s v="Fabio A Oliveira"/>
    <s v="IDEIAS-LOGÍSTICA"/>
    <d v="2025-06-27T10:33:15"/>
    <s v="Fechado"/>
    <s v="OPERAÇÃO"/>
  </r>
  <r>
    <s v="FB0107755"/>
    <s v="mordente de selagem "/>
    <s v="Em andamento"/>
    <s v="Acrescentar uma pequena asa de ferro na lateral dos mordentes para facilitar a remoção durante as trocas de produto,não sendo mais necessário o uso de ferramentas como martelo e chave de fenda que por sua vez pode danificar as peças "/>
    <x v="49"/>
    <s v="Pequena mudança local"/>
    <s v="Cost (GE, rework)"/>
    <x v="163"/>
    <s v="05. LINHA 05"/>
    <d v="2026-08-10T14:05:03"/>
    <s v="Anderson Santana"/>
    <s v="APROVADORES DE IDEIAS"/>
    <m/>
    <s v="Aguardando Orçamento"/>
    <s v="OPERAÇÃO"/>
  </r>
  <r>
    <s v="FB0107938"/>
    <s v="emplilhadeira para virar tambor "/>
    <s v="Cancelado"/>
    <s v="É necessário uma empilhadeira que vira os tambores de detector de metal e do regeito do distribuidor… pois é muito pesado para uma pessoa virar na caçamba sozinha podendo até  causar problemas na coluna.. com a empilhadeira facilitava o trabalho que nem sempre tem duas pessoas pra ir virar os baldes na caçamba _x000a_09/09 - Precisa de apoio de SHE para validar a ideias_x000a_segue vídeo da sugestão: https://www.youtube.com/watch?v=8scg3cuB9ZU_x000a__x000a_Pedro Ferreira: Na visão de CI, é uma ótima ideia e importante, precisamos apenas do orçamento de onde podemos encontrar esse tipo de carrinho, ou adaptação. Pessoal de SHE comprou carrinhos parecido, poderia verificar com a empresa se eles produzem esse tipo de carrinho também. _x000a_"/>
    <x v="22"/>
    <s v="Pequena mudança local"/>
    <s v="Safety - Health"/>
    <x v="164"/>
    <s v="09.19 SALA DE PRODUTOS QUÍMICOS "/>
    <d v="2026-05-13T15:02:49"/>
    <m/>
    <s v="IDEIAS-SHE"/>
    <d v="2026-05-13T15:02:49"/>
    <s v="Cancelado"/>
    <s v="OPERAÇÃO"/>
  </r>
  <r>
    <s v="FB0107942"/>
    <s v="Aumento do suporte dos eixos expansivos "/>
    <s v="Resolvido"/>
    <s v="Aumentar o suporte do eixo expansivo para que consiga colocar os dois eixos reserva e também a bobina strech _x000a_ANA MARTINS: Passar para o Cleiton executar."/>
    <x v="31"/>
    <s v="Pequena mudança local"/>
    <s v="Processo"/>
    <x v="165"/>
    <s v="04. EMPACOTAMENTO"/>
    <d v="2026-04-13T10:16:01"/>
    <s v="Lucas Carvalho"/>
    <s v="APROVADORES DE IDEIAS"/>
    <m/>
    <s v="Resolvido"/>
    <s v="ADM/TÉCNICO/ASSISTENTE/ESTAG."/>
  </r>
  <r>
    <s v="FB0108243"/>
    <s v="Grade de proteção área PKD"/>
    <s v="Resolvido"/>
    <s v="Grade com pontas para cima, risco de lesões no braço do associado. _x000a_Apenas precisa ser virada para que assim elimine o risco de lesão do associado._x000a__x000a_-APROVAÇÃO: _x000a__x000a_Orçamento em anexo no valor de R$ 567,00_x000a_"/>
    <x v="47"/>
    <s v="Pequena mudança local"/>
    <s v="Safety - Health"/>
    <x v="166"/>
    <s v="08. LOGISTICA"/>
    <d v="2026-09-17T13:50:52"/>
    <s v="Jhonnathan Pereira"/>
    <s v="APROVADORES DE IDEIAS"/>
    <m/>
    <s v="Aguardando Execução "/>
    <s v="OPERAÇÃO"/>
  </r>
  <r>
    <s v="FB0108920"/>
    <s v="Página Sumário de Ferramentas de Auditorias"/>
    <s v="Fechado"/>
    <s v="Criar uma pagina no SharePoint com os links de todos os Forms que usamos na fábrica para fazer auditorias. Por exemplo: Helth Check, Complition&amp;Complice"/>
    <x v="55"/>
    <s v="Pequena mudança local"/>
    <s v="Organisation of work"/>
    <x v="167"/>
    <s v="01. JDE CAFES DO BRASIL UNIDADE PIUMHI"/>
    <d v="2026-05-28T12:13:05"/>
    <s v="Luzia Rodrigues"/>
    <s v="IDEIAS-MELHORIA CONTÍNUA"/>
    <d v="2026-05-28T12:13:05"/>
    <s v="Fechado"/>
    <s v="ADM/TÉCNICO/ASSISTENTE/ESTAG."/>
  </r>
  <r>
    <s v="FB0109063"/>
    <s v="LEITE QUENTE"/>
    <s v="Fechado"/>
    <s v="Ver a possibilidade de providenciar leite quente durante a temporada de frio. Deixando em anexo a foto de uma garrafa térmica, que seria interessante para essa ocasião. _x000a__x000a_OBS: Valor está considerando 2 unidades da garrafa, devido a necessidade da padaria, ter que levar uma para lavar e deixar a outra com leite aqui. "/>
    <x v="44"/>
    <s v="Pequena mudança local"/>
    <s v="Organisation of work"/>
    <x v="168"/>
    <s v="09.17 REFEITÓRIO"/>
    <d v="2025-06-04T09:35:44"/>
    <s v="Ana Pereira"/>
    <s v="IDEIAS-ADMINISTRATIVO"/>
    <d v="2025-06-04T09:35:44"/>
    <s v="Fechado"/>
    <s v="ADM/TÉCNICO/ASSISTENTE/ESTAG."/>
  </r>
  <r>
    <s v="FB0109102"/>
    <s v="Sinalizador Luminoso para esvaziamento de silos"/>
    <s v="Fechado"/>
    <s v="Instalar sinalizadores luminosos para esvaziamento de silos, desse forma, seria um para fabrima 04 e 05, visto que essa puxam café do mesmos silos, e uma paras fabrimas 02 e 03. Portanto, é para fazer semelhante o que foi feito na PKD, porém, a função dessa seria apenas alertar os operadores do esgotamento dos silos. "/>
    <x v="46"/>
    <s v="Pequena mudança local"/>
    <s v="Processo"/>
    <x v="169"/>
    <s v="03. MOAGEM"/>
    <d v="2025-10-03T11:28:34"/>
    <s v="Wallace Pereira"/>
    <s v="IDEIAS-PROCESSOS"/>
    <d v="2025-10-03T11:28:34"/>
    <s v="Fechado"/>
    <s v="ADM/TÉCNICO/ASSISTENTE/ESTAG."/>
  </r>
  <r>
    <s v="FB0109290"/>
    <s v="Abertura de uma “porta” de vazão para água e sujidades ao lavar câmaras de torras e esfriamento. "/>
    <s v="Em andamento"/>
    <s v="Abertura de uma “porta” de vazão para água e sujidades no berço da rosca plana de torrado, para ajudar na lavagem das câmaras de torra e esfriamento, devido a local de difícil acesso para limpar as roscas, além de eliminar a contaminação das roscas ao arrastar sujidades da lavagem para poder retirar mais à frente da rosca no despedrador. Com as portas novas essa sujidade desceria direto para a bandeja sem contaminar a rosca plana/inclinada e despedrador, pois mesmo após a passar torras de limpeza essa sujidade não é removida 100%, deixando também um mal cheiro muito forte no sistema podendo ser absorvido pelo café ao retornar com as torras normalmente. _x000a__x000a_SHE: do ponto de vista de segurança não vemos problema na instalação da tampa. Porem esta tampa deve ser parafusada e quando houver limpeza a rosca e o sistema deve estar bloqueados. Durante a instalação avaliaremos a necessidade de aplicação de LOTOTO."/>
    <x v="40"/>
    <s v="Pequena mudança local"/>
    <s v="Qualidade"/>
    <x v="170"/>
    <s v="02. TORREFAÇÃO"/>
    <d v="2026-01-29T14:05:07"/>
    <s v="Rubens Teixeira"/>
    <s v="IDEIAS-PROCESSOS"/>
    <m/>
    <s v="Aguardando Orçamento"/>
    <s v="OPERAÇÃO"/>
  </r>
  <r>
    <s v="FB0109361"/>
    <s v="centerling PKD - modificações"/>
    <s v="Fechado"/>
    <s v="&gt; alimentação do filme caneladores -&gt; adicionar marcação amarela pois é recurso de ajuste em caso de encanoamento. necessário anotar no comentário a identificação da bobina com encantamento._x000a_&gt; entrada de material - pentes de formação &gt;&gt; alterar para distância e alinhamento dos pentes _x000a_&gt; formação do pacote - mesa de alimentação &gt;&gt; necessário fazer range de faixa verde e atualizar a foto do monitoramento _x000a_&gt; socadores- 174 = máquina não permite_x000a_&gt; vibração &lt;30% = desligado_x000a_&gt; roda mandril - manômetro pressão do mordente  = trocar manômetro pois não dá para ler_x000a__x000a_qualquer dúvida favor me procurar "/>
    <x v="22"/>
    <s v="Pequena mudança local"/>
    <s v="Processo"/>
    <x v="171"/>
    <s v="01. LINHA 01"/>
    <d v="2025-10-29T13:14:52"/>
    <s v="Moises Costa"/>
    <s v="IDEIAS-VACUO"/>
    <d v="2025-10-29T13:14:52"/>
    <s v="Fechado"/>
    <s v="OPERAÇÃO"/>
  </r>
  <r>
    <s v="FB0109815"/>
    <s v="Alteração CIL "/>
    <s v="Fechado"/>
    <s v="Visto pela operadora, em uma troca de teflons do conjunto de selagem dos mordentes horizontais, traseiro e dianteiro, há necessidade da troca dos teflons, troca das borrachas de selagem (caso seja necessário) e do níquel cromo (caso seja necessário). _x000a_Como uma ação no *Mentalidade de Dono* sugeri que ao invés dessa troca ser somente mensal fazer alteração no CIL a cada 15 dias ."/>
    <x v="32"/>
    <s v="Pequena mudança local"/>
    <s v="Processo"/>
    <x v="172"/>
    <s v="04. EMPACOTAMENTO"/>
    <d v="2025-11-05T08:51:41"/>
    <s v="Bianca Silva"/>
    <s v="APROVADORES DE IDEIAS"/>
    <d v="2025-11-05T08:51:41"/>
    <s v="Fechado"/>
    <s v="OPERAÇÃO"/>
  </r>
  <r>
    <s v="FB0109864"/>
    <s v="Layout Tablet "/>
    <s v="Fechado"/>
    <s v="Colocar uma aba no campo de filtro do DMOS de forma que as BDAS  E TAREFAS DA ÁREA FIQUEM SEPARADAS das Etiquetas  para melhor visibilidade nas reuniões._x000a__x000a_Retorno:_x000a_29/10/2025 - Melhoria aberta para o time global: FB0125968"/>
    <x v="1"/>
    <s v="Pequena mudança local"/>
    <s v="Organisation of work"/>
    <x v="173"/>
    <s v="01. LINHA 01"/>
    <d v="2026-08-12T09:14:35"/>
    <s v="Luzia Rodrigues"/>
    <s v="APROVADORES DE IDEIAS"/>
    <d v="2026-08-12T09:14:35"/>
    <s v="Fechado"/>
    <s v="OPERAÇÃO"/>
  </r>
  <r>
    <s v="FB0110022"/>
    <s v="Organização nas prateleiras do almoxarifado "/>
    <s v="Cancelado"/>
    <s v="Realizar a compra com caixas organizadoras e bacias de contenção para que possamos organizar nossos estoque de itens do almoxarifado ( EPIs, materiais de escritórios, saco de lixo etc)"/>
    <x v="15"/>
    <s v="Pequena mudança local"/>
    <s v="Organisation of work"/>
    <x v="174"/>
    <s v="09.1 ALMOXARIFADO"/>
    <d v="2025-06-10T10:45:00"/>
    <m/>
    <s v="IDEIAS-CAFÉ CRÚ"/>
    <d v="2025-06-10T10:45:00"/>
    <s v="Cancelado"/>
    <s v="OPERAÇÃO"/>
  </r>
  <r>
    <s v="FB0110023"/>
    <s v="portas nos armários do almoxerifado"/>
    <s v="Cancelado"/>
    <s v="Colocar portas nos armários do almoxarifado facilitando os almoxarifes no controle de itens menos divergência  e colocando cadeados em_x000a_Todos os armários "/>
    <x v="15"/>
    <s v="Pequena mudança local"/>
    <s v="Organisation of work"/>
    <x v="175"/>
    <s v="09.1 ALMOXARIFADO"/>
    <d v="2025-06-04T11:25:34"/>
    <m/>
    <s v="IDEIAS-CAFÉ CRÚ"/>
    <d v="2025-06-04T11:25:34"/>
    <s v="Cancelado"/>
    <s v="OPERAÇÃO"/>
  </r>
  <r>
    <s v="FB0110024"/>
    <s v="Fazer nos armários do almoxarifado listas em cada armário com os itens"/>
    <s v="Cancelado"/>
    <s v="Fazer listas nas portas dos armários com códigos e nomes nos armários assim facilitando na procura dos itens e já ir direto no item desejado com folhas plastificadas "/>
    <x v="15"/>
    <s v="Pequena mudança local"/>
    <s v="Organisation of work"/>
    <x v="176"/>
    <s v="09.1 ALMOXARIFADO"/>
    <d v="2025-06-10T10:36:52"/>
    <m/>
    <s v="IDEIAS-CAFÉ CRÚ"/>
    <d v="2025-06-10T10:36:52"/>
    <s v="Cancelado"/>
    <s v="OPERAÇÃO"/>
  </r>
  <r>
    <s v="FB0110262"/>
    <s v="Aspirador de Pó PKD"/>
    <s v="Fechado"/>
    <s v="Realizar a aquisição de um novo Aspirador de pó , para que os dois operadores possam aspirar a PKD ._x000a_Essa solicitação veio por meio da mudança no formato na limpeza onde foi banido o uso de Ar Comprimido._x000a_E também com dois Aspiradores pode fazer mudanças no CIL incluindo a parte de traz da PKD uma vez na semana para realizar a limpeza e aspiração._x000a__x000a_OBS : A limpeza da encaixotadora é possível ser realizada durante o carregamento da esteira Alpino  pós o início de produção. Da PKD_x000a_OBS : A instalação de um ponto para a guarda do mesmo onde possam ficar trancados de forma que não são retirados os componentes com mangueira e bicos."/>
    <x v="1"/>
    <s v="Pequena mudança local"/>
    <s v="Cost (GE, rework)"/>
    <x v="177"/>
    <s v="01. LINHA 01"/>
    <d v="2025-07-07T14:11:16"/>
    <m/>
    <s v="IDEIAS-VACUO"/>
    <d v="2025-07-07T14:11:16"/>
    <s v="Fechado"/>
    <s v="OPERAÇÃO"/>
  </r>
  <r>
    <s v="FB0110423"/>
    <s v="tampar partes abertas das fabrimas"/>
    <s v="Cancelado"/>
    <s v="Tampar partes abertas das fabrimas,para diminuir sujeira _x000a_"/>
    <x v="49"/>
    <s v="Pequena mudança local"/>
    <s v="Qualidade"/>
    <x v="178"/>
    <s v="05. LINHA 05"/>
    <d v="2025-06-09T14:38:08"/>
    <m/>
    <s v="APROVADORES DE IDEIAS"/>
    <d v="2025-06-09T14:38:08"/>
    <s v="Cancelado"/>
    <s v="OPERAÇÃO"/>
  </r>
  <r>
    <s v="FB0110541"/>
    <s v="Limitador de Parada "/>
    <s v="Resolvido"/>
    <s v="Realizar a colocação de um batente fixado ao solo de modo que as gaiolas de  descartes não colide com a tela de  limitação para que não haja estragos na tela como representa a foto acima _x000a__x000a_SHE: reprovado. Se esta batendo é porque não estão controlando a velocidade das gaiolas."/>
    <x v="1"/>
    <s v="Pequena mudança local"/>
    <s v="Safety - Health"/>
    <x v="179"/>
    <s v="01. LINHA 01"/>
    <d v="2025-09-12T09:49:33"/>
    <s v="Pedro Ferreira"/>
    <s v="IDEIAS-VACUO"/>
    <m/>
    <s v="Resolvido"/>
    <s v="OPERAÇÃO"/>
  </r>
  <r>
    <s v="FB0110544"/>
    <s v="necessário um auxiliar para fazer limpeza de preventiva ou travamento da máquina "/>
    <s v="Cancelado"/>
    <s v="Durante os dias normais mantenha o auxiliar nas linhas do empacotamento , mas quando necessário limpeza dos moinhos deslocar para ajudar o operador ,muito difícil operador fazer análises ter precisão de identificar anomalia do café , rapidez de identificar final de silo , inicia silos ,e as análise de 30 minuto e lavagem das peneira para próximas análise da moagem e controladora e ter que limpar moinho em dias específico e garantir a qualidade do café dentro do padrão de qualidade "/>
    <x v="9"/>
    <s v="Pequena mudança local"/>
    <s v="Organisation of work"/>
    <x v="180"/>
    <s v="03. MOAGEM"/>
    <d v="2025-07-15T10:31:14"/>
    <m/>
    <s v="IDEIAS-PROCESSOS"/>
    <d v="2025-07-15T10:31:14"/>
    <s v="Cancelado"/>
    <s v="OPERAÇÃO"/>
  </r>
  <r>
    <s v="FB0110549"/>
    <s v="o silo de dosagem "/>
    <s v="Cancelado"/>
    <s v="O silo que era exclusivo para a máquina de grão ,está sendo inutilizado na fabricar , aproveitar que está com a estrutura montada fazer ele exclusivo para reprocesso que possa introduzir em todos os silos de pó , a desmontagem dele geraria um gasto e sendo que nosso processo gerar não conformidade por diversas razão ,aproveitando a estrutura deixando o silo exclusivo para reprocesso de linha e outras não conformidade que processo gerar , tendo assim não atraso na linha não parada por silo cheio e trocas de inversor. "/>
    <x v="9"/>
    <s v="Pequena mudança local"/>
    <s v="Qualidade"/>
    <x v="181"/>
    <s v="03. MOAGEM"/>
    <d v="2025-06-09T16:01:54"/>
    <s v="Moises Costa"/>
    <s v="IDEIAS-PROCESSOS"/>
    <d v="2025-06-09T16:01:54"/>
    <s v="Cancelado"/>
    <s v="OPERAÇÃO"/>
  </r>
  <r>
    <s v="FB0110676"/>
    <s v="Compra de micrômetro."/>
    <s v="Resolvido"/>
    <s v="Foi discutido em reunião, após a reunião de comunicação, a compra de um micrômetro para a aferição da espessura do filme de embalagem. _x000a_Com essa aferição podemos descartar umas das maiores hipótese da bobina não “rodar”, que é a “essa embalagem está mais fina”._x000a__x000a_Pedro Ferreira:_x000a__x000a_Necessário que faça orçamento e passe para CI gerar o pedido de compra. "/>
    <x v="57"/>
    <s v="Pequena mudança local"/>
    <s v="Qualidade"/>
    <x v="182"/>
    <s v="09.16 Qualidade CQ"/>
    <d v="2026-09-11T13:18:11"/>
    <s v="Tais Costa"/>
    <s v="APROVADORES DE IDEIAS"/>
    <m/>
    <s v="Resolvido"/>
    <s v="OPERAÇÃO"/>
  </r>
  <r>
    <s v="FB0110684"/>
    <s v="Duas rodinhas fixas e duas moveis, facilitar na locomoção "/>
    <s v="Fechado"/>
    <s v="Tocar duas rodinhas do aparelho de análise de granulometria de Cavaco, para ficar duas fixas e duas moveis, irá facilitar na locomoção do mesmo"/>
    <x v="21"/>
    <s v="Pequena mudança local"/>
    <s v="Processo"/>
    <x v="183"/>
    <s v="01. JDE CAFES DO BRASIL UNIDADE PIUMHI"/>
    <d v="2025-07-02T08:20:53"/>
    <s v="Caique Ventura"/>
    <s v="IDEIAS-MELHORIA CONTÍNUA"/>
    <d v="2025-07-02T08:20:53"/>
    <s v="Fechado"/>
    <s v="OPERAÇÃO"/>
  </r>
  <r>
    <s v="FB0110718"/>
    <s v="fazer um app pra substituir o relatório dos ímãs "/>
    <s v="Resolvido"/>
    <s v="A ideia é facilitar o preenchimento, ajudar em caso de desvio no turno assim quanto no anterior, seria bom se nele tiver como tirar foto pra deixar mais fácil de resolver qualquer desvio, podendo facilitar a rastreabilidade do processo em caso de desvio, cada op com seu login, "/>
    <x v="28"/>
    <s v="Pequena mudança local"/>
    <s v="Qualidade"/>
    <x v="184"/>
    <s v="03. MOAGEM"/>
    <d v="2026-04-23T09:13:38"/>
    <s v="Ruth Ribeiro"/>
    <s v="IDEIAS-PROCESSOS"/>
    <m/>
    <s v="Resolvido"/>
    <s v="OPERAÇÃO"/>
  </r>
  <r>
    <s v="FB0110830"/>
    <s v="Balança na área do empacotamento almofada."/>
    <s v="Em andamento"/>
    <s v="Colocar uma balança na área de empacotamento almofada, para facilitar a pesagem, para os operadores de fabrima, hoje, eles tem que dar uma volta muito grande, para realizar esta tarefa, acredito que se tiver uma balança na área de almofada, será um incentivo para a realização da tarefa._x000a__x000a_Relton: ideia aprovada, visto que realmente tem a necessidade de uma balança mais próxima das almofadas para pesas bobinas de RO"/>
    <x v="21"/>
    <s v="Pequena mudança local"/>
    <s v="Processo"/>
    <x v="185"/>
    <s v="04. LINHA 04"/>
    <d v="2025-07-09T11:22:18"/>
    <s v="Moises Costa"/>
    <s v="APROVADORES DE IDEIAS"/>
    <m/>
    <s v="Aguardando Aprovação de CAPEX"/>
    <s v="OPERAÇÃO"/>
  </r>
  <r>
    <s v="FB0110832"/>
    <s v="Caçamba na área do empacotamento almofada"/>
    <s v="Em andamento"/>
    <s v="Colocar uma caçamba na área do empacotamento fabrima. Hoje os operadores tem que dar uma volta muito grande para descartar os resíduos orgânicos, o que é ergonomicamente inviável, pois os carrinhos são baixos, e a distância é longa. Se colocar uma balança ao lado da caçamba, será melhor ainda, pois incentivaremos a pesagem do descarte, melhorando a acuracidade, para o o fluxo de apontamento do CADA GRÃO CONTA."/>
    <x v="21"/>
    <s v="Pequena mudança local"/>
    <s v="Processo"/>
    <x v="186"/>
    <s v="04. EMPACOTAMENTO"/>
    <d v="2026-05-28T09:41:27"/>
    <s v="Flavia Silveira"/>
    <s v="APROVADORES DE IDEIAS"/>
    <m/>
    <s v="Aguardando Aprovação de CAPEX"/>
    <s v="OPERAÇÃO"/>
  </r>
  <r>
    <s v="FB0110844"/>
    <s v="ASPIRADOR PORTÁTIL"/>
    <s v="Resolvido"/>
    <s v="Aquisição de um aspirador portátil, para limpeza dos moinhos e assim realizar o reaproveitamento de café que fica acumulado nos rolos e nas portas._x000a__x000a_Participantes da ideia: Aline, Ricardo e Caique._x000a__x000a_HIAGO: Aprovado. Validar solução com qualidade."/>
    <x v="44"/>
    <s v="Pequena mudança local"/>
    <s v="Yeld"/>
    <x v="187"/>
    <s v="03. MOAGEM"/>
    <d v="2025-11-03T13:43:25"/>
    <s v="Angelina Destefani"/>
    <s v="IDEIAS-PROCESSOS"/>
    <m/>
    <s v="Resolvido"/>
    <s v="ADM/TÉCNICO/ASSISTENTE/ESTAG."/>
  </r>
  <r>
    <s v="FB0110895"/>
    <s v="Modificação CL"/>
    <s v="Fechado"/>
    <s v="Implementar no CIL a inspeção das borrachas ou troca caso necessário retirando do CL . Visto que ela faz parte do conjunto de selagem dos fardos da Raumak como sugerido em outra ideia, fazer a troca das borrachas se necessário for a cada 15 dias juntamente com os teflons de selagem dos mordentes traseiros e dianteiros. "/>
    <x v="32"/>
    <s v="Pequena mudança local"/>
    <s v="Cost (GE, rework)"/>
    <x v="188"/>
    <s v="04. EMPACOTAMENTO"/>
    <d v="2025-12-02T09:33:02"/>
    <s v="Moises Costa"/>
    <s v="APROVADORES DE IDEIAS"/>
    <d v="2025-12-02T09:33:02"/>
    <s v="Fechado"/>
    <s v="OPERAÇÃO"/>
  </r>
  <r>
    <s v="FB0110970"/>
    <s v="CGC - Cada Grão Conta"/>
    <s v="Resolvido"/>
    <s v="Inserir no CGC (Cada Grão Conta) as embalagens de reprocesso._x000a_HIAGO: Caique Verificar se já está incluido no FORMS, por favor"/>
    <x v="32"/>
    <s v="Pequena mudança local"/>
    <s v="Cost (GE, rework)"/>
    <x v="189"/>
    <s v="03. MOAGEM"/>
    <d v="2026-09-11T13:27:34"/>
    <s v="Caique Ventura"/>
    <s v="APROVADORES DE IDEIAS"/>
    <m/>
    <s v="Resolvido"/>
    <s v="OPERAÇÃO"/>
  </r>
  <r>
    <s v="FB0111197"/>
    <s v="IMPLANTAÇÃO MRP - ALMOXARIFADO (PROJETO)"/>
    <s v="Fechado"/>
    <s v="Parametrizar para o nosso almoxarifado a MRP, para que tenhamos um melhor controle do nosso estoque. _x000a_Além da parametrização do SAP, será realizado dentro do escopo do projeto: _x000a_- Fechamento das prateleiras, para controle de acesso._x000a_- 5S na organização, compras de caixas organizadora e bacias de contenção._x000a_- Identificação dos itens armazenados, com códigos e nomes._x000a_- Ficha externa/espelho com os itens que vão estar dentro do armário, assim facilitando a identificação, sem precisar realizar a abertura do armário._x000a_- Automatização de conferência de NFs na FBL1N, através de script._x000a_- Alinhamentos com time de compras, quanto ao prazo de correção de divergências + planilha de controle compartilhada._x000a_Time do projeto: Aline, Caique V, Camila S, Joelma e Henrique._x000a__x000a_Projeto está em andamento desde de 10/03_x000a_"/>
    <x v="44"/>
    <s v="Pequena mudança local"/>
    <s v="Organisation of work"/>
    <x v="190"/>
    <s v="09.1 ALMOXARIFADO"/>
    <d v="2026-01-13T08:51:10"/>
    <s v="Aline Fernandes"/>
    <s v="IDEIAS-CAFÉ CRÚ"/>
    <d v="2026-01-13T08:51:10"/>
    <s v="Fechado"/>
    <s v="ADM/TÉCNICO/ASSISTENTE/ESTAG."/>
  </r>
  <r>
    <s v="FB0111369"/>
    <s v="Uso de escada Para saída segura de carretas "/>
    <s v="Cancelado"/>
    <s v="Propor a adoção de uma escada tipo marinheiro com uns 4 degrau mais o menos para auxiliar a saída de pessoas de dentro._x000a_Atualmente, ao finalizar as descarga é comum os associados saltarem para sair do compartimento, essa prática representa um risco de acidentes, como torções, lesões nos membros."/>
    <x v="29"/>
    <s v="Pequena mudança local"/>
    <s v="Safety - Health"/>
    <x v="191"/>
    <s v="01. CAFÉ CRU"/>
    <d v="2025-06-12T11:30:44"/>
    <m/>
    <s v="IDEIAS-CAFÉ CRÚ"/>
    <d v="2025-06-12T11:30:44"/>
    <s v="Cancelado"/>
    <s v="OPERAÇÃO"/>
  </r>
  <r>
    <s v="FB0111453"/>
    <s v="Atualização CIL"/>
    <s v="Fechado"/>
    <s v="Tem um campo de limpeza e inspeção que seria a base do robô que e é realizado uma vez por semana, a ideia e dividir a limpeza colocar ela diária e a inspeção uma vez por semana, para garantir a limpeza próximo ao coleiro visto que já temos problemas relacionado ao coleiro devido a sugidade"/>
    <x v="50"/>
    <s v="Pequena mudança local"/>
    <s v="Cost (GE, rework)"/>
    <x v="192"/>
    <s v="04. EMPACOTAMENTO"/>
    <d v="2025-11-05T08:51:25"/>
    <s v="Bianca Silva"/>
    <s v="APROVADORES DE IDEIAS"/>
    <d v="2025-11-05T08:51:25"/>
    <s v="Fechado"/>
    <s v="OPERAÇÃO"/>
  </r>
  <r>
    <s v="FB0111454"/>
    <s v="Adicionar coleiro no programa de capacitação "/>
    <s v="Fechado"/>
    <s v="Adicionar coleiro no programa de capacitação "/>
    <x v="50"/>
    <s v="Pequena mudança local"/>
    <s v="Cost (GE, rework)"/>
    <x v="193"/>
    <s v="01. JDE CAFES DO BRASIL UNIDADE PIUMHI"/>
    <d v="2025-06-17T15:45:48"/>
    <s v="Luzia Rodrigues"/>
    <s v="IDEIAS-MELHORIA CONTÍNUA"/>
    <d v="2025-06-17T15:45:48"/>
    <s v="Fechado"/>
    <s v="OPERAÇÃO"/>
  </r>
  <r>
    <s v="FB0111504"/>
    <s v="manutenção preventiva no robô "/>
    <s v="Resolvido"/>
    <s v="O robô da muitas  falhas , onde a operação do entra e reseta ou faz os ajuste básicos , mas nada que possa resolver os problemas raiz , é sempre acontece os as mesmas paradas , incluindo uma preventiva mensal , pode ser que melhore a performance do robô EX: pallet não expulsa -robô travando na  hora d pegar outro pallet - não expulsando o pallet completo e a operação tem que entrar e empurrar com esforço físico , são alguns dos problemas mais recorrentes _x000a__x000a_Manutenção: sobre esta ação o Andre Mendes (confiabilidade) esta montando todos os planos preventivos para inserir no program SAP."/>
    <x v="19"/>
    <s v="Pequena mudança local"/>
    <s v="Cost (GE, rework)"/>
    <x v="194"/>
    <s v="05. LINHA 05"/>
    <d v="2026-03-13T16:24:08"/>
    <s v="Andre Mendes Costa"/>
    <s v="APROVADORES DE IDEIAS"/>
    <m/>
    <s v="Resolvido"/>
    <s v="OPERAÇÃO"/>
  </r>
  <r>
    <s v="FB0111768"/>
    <s v="bicas para descarga"/>
    <s v="Cancelado"/>
    <s v="As bicas tortas para descarga de café cru ficam espalhadas na prataforma atrapalhando o tráfego dos colaboradores e quase sempre não são usadas._x000a_Com a construção de um suporte sendo um cano de ferro com 6 ganchos as bicas ficariam ali mesmo próximo ao canto da parede não atrapalhando o tráfego dos colaboradores e sendo de fácil acesso quando precisar dás mesmas "/>
    <x v="7"/>
    <s v="Grande mudança local"/>
    <s v="Organisation of work"/>
    <x v="195"/>
    <s v="01. CAFÉ CRU"/>
    <d v="2025-07-02T09:31:47"/>
    <m/>
    <s v="IDEIAS-CAFÉ CRÚ"/>
    <d v="2025-07-02T09:31:47"/>
    <s v="Cancelado"/>
    <s v="OPERAÇÃO"/>
  </r>
  <r>
    <s v="FB0111819"/>
    <s v="are de resíduo orgânico "/>
    <s v="Fechado"/>
    <s v="Melhorar a área de resíduo orgânico _x000a_Grade com furores menores para segurar o lixo comum e também se tiver algum peça no rejeito do detector de metal _x000a_Vassoura e pasinha para varrer a área _x000a_Rodo para mecher o café na grade e separar o lixo orgânico _x000a_Placa com identificação da área "/>
    <x v="35"/>
    <s v="Pequena mudança local"/>
    <s v="Organisation of work"/>
    <x v="196"/>
    <s v="05. LINHA 05"/>
    <d v="2026-01-23T09:37:20"/>
    <s v="Aline Fernandes"/>
    <s v="APROVADORES DE IDEIAS"/>
    <d v="2026-01-23T09:37:20"/>
    <s v="Fechado"/>
    <s v="OPERAÇÃO"/>
  </r>
  <r>
    <s v="FB0111820"/>
    <s v="alteração na escrita do CIL fab 5"/>
    <s v="Fechado"/>
    <s v="Limpeza da esteira após o tobogã atualizar para ser com aspirador para retirada da sujeira nos espaços pequenos ,para evitar paradas devido sujidade na esteira "/>
    <x v="25"/>
    <s v="Pequena mudança local"/>
    <s v="Cost (GE, rework)"/>
    <x v="197"/>
    <s v="05. LINHA 05"/>
    <d v="2025-11-05T08:51:10"/>
    <s v="Bianca Silva"/>
    <s v="APROVADORES DE IDEIAS"/>
    <d v="2025-11-05T08:51:10"/>
    <s v="Fechado"/>
    <s v="OPERAÇÃO"/>
  </r>
  <r>
    <s v="FB0112019"/>
    <s v="remarcoes de centerlining "/>
    <s v="Fechado"/>
    <s v="Fazer as remarcações nos roletes das fabrimas, assim conseguimos manter melhor a performance da máquina e padronizar a operação , mantendo a vertical alinhada ."/>
    <x v="19"/>
    <s v="Pequena mudança local"/>
    <s v="Cost (GE, rework)"/>
    <x v="198"/>
    <s v="05. LINHA 05"/>
    <d v="2025-10-15T08:46:31"/>
    <s v="Moises Costa"/>
    <s v="APROVADORES DE IDEIAS"/>
    <d v="2025-10-15T08:46:31"/>
    <s v="Fechado"/>
    <s v="OPERAÇÃO"/>
  </r>
  <r>
    <s v="FB0112072"/>
    <s v="MELHORIA NAS FIXAÇÕES DOS MOINHOS"/>
    <s v="Em andamento"/>
    <s v="Moinhos com vazamento de café nas portas, melhoria realizada no moinho 02, reaplicar para os outros_x000a_HIAGO: Infomado que Leandro está dando andamento desta atividade. Aprovado"/>
    <x v="58"/>
    <s v="Pequena mudança local"/>
    <s v="Yeld"/>
    <x v="199"/>
    <s v="03. MOAGEM"/>
    <d v="2026-08-10T14:05:24"/>
    <s v="Anderson Santana"/>
    <s v="APROVADORES DE IDEIAS"/>
    <m/>
    <s v="Aguardando material "/>
    <s v="ADM/TÉCNICO/ASSISTENTE/ESTAG."/>
  </r>
  <r>
    <s v="FB0112085"/>
    <s v="Opção de vídeo no DMOS"/>
    <s v="Fechado"/>
    <s v="Opção de vídeo no próprio DMOS ao abrir etiquetas, em situações onde é necessário a movimentação para visualizar o problema/solução e etc._x000a__x000a_RETORNO:_x000a_Atribuido ao Hiago que é o Key User do módulo de etiquetas na planta para que possa verificar o ajuste com o DMOS global."/>
    <x v="14"/>
    <s v="Pequena mudança local"/>
    <s v="Processo"/>
    <x v="200"/>
    <s v="04. EMPACOTAMENTO"/>
    <d v="2026-08-12T09:14:10"/>
    <s v="Luzia Rodrigues"/>
    <s v="APROVADORES DE IDEIAS"/>
    <d v="2026-08-12T09:14:11"/>
    <s v="Fechado"/>
    <s v="OPERAÇÃO"/>
  </r>
  <r>
    <s v="FB0112095"/>
    <s v="Paleteira com balança "/>
    <s v="Em andamento"/>
    <s v="Paleteira com balança, para ajudar na pesagem de bobinas da PKD."/>
    <x v="33"/>
    <s v="Pequena mudança local"/>
    <s v="Safety - Health"/>
    <x v="201"/>
    <s v="01. LINHA 01"/>
    <d v="2026-09-11T13:35:35"/>
    <s v="Giovanna Biffaratte"/>
    <s v="APROVADORES DE IDEIAS"/>
    <m/>
    <s v="Aguardando Aprovação de CAPEX"/>
    <s v="OPERAÇÃO"/>
  </r>
  <r>
    <s v="FB0112207"/>
    <s v="Batente Fabrima 5"/>
    <s v="Fechado"/>
    <s v="Instalação de batente na fabrima 5 seguindo padrao do piloto feito na Fabrima 4"/>
    <x v="34"/>
    <s v="Pequena mudança local"/>
    <s v="Safety - Health"/>
    <x v="202"/>
    <s v="08. LOGISTICA"/>
    <d v="2025-06-19T10:56:04"/>
    <s v="Fabio A Oliveira"/>
    <s v="IDEIAS-LOGÍSTICA"/>
    <d v="2025-06-19T10:56:04"/>
    <s v="Fechado"/>
    <s v="ADM/TÉCNICO/ASSISTENTE/ESTAG."/>
  </r>
  <r>
    <s v="FB0112228"/>
    <s v="Manutenção autônoma Para Moagem "/>
    <s v="Fechado"/>
    <s v="Este quadro de ferramentas era destinado somente para associados da área do torrador, hoje não usa mais este armário devido cada operador do torrador tem seu kit de ferramentas individuais._x000a_Como a área da Moagem não tem ferramentas específicas e úteis para exercer quaisquer atividades relacionadas a M.A faço uma solicitação para que completem as ferramentas faltantes deste armário é destinam ao pessoal da operação da Moagem, assim facilitando as atividades deles com qualquer ferramenta e sem depender de manutenção para que possam realizar qualquer melhoria._x000a__x000a__x000a_Att:  Edvaldo Rener _x000a__x000a_HIAGO: Aprovado. Ótima ideia. Pedro, favor providenciar a compra das ferramentas. _x000a__x000a_PEDRO FERREIRA: Ideia aguardando aprovação do pedido de compras "/>
    <x v="29"/>
    <s v="Pequena mudança local"/>
    <s v="Organisation of work"/>
    <x v="203"/>
    <s v="02. TORREFAÇÃO"/>
    <d v="2025-09-10T09:38:07"/>
    <s v="Pedro Ferreira"/>
    <s v="IDEIAS-PROCESSOS"/>
    <d v="2025-09-10T09:38:07"/>
    <s v="Fechado"/>
    <s v="OPERAÇÃO"/>
  </r>
  <r>
    <s v="FB0112229"/>
    <s v="Alongamento do cabo"/>
    <s v="Fechado"/>
    <s v="Aumentar o cabo de 1,70 para 1,90 obtendo-se melhor ergonomia e desempenho no trabalho."/>
    <x v="59"/>
    <s v="Pequena mudança local"/>
    <s v="Safety - Health"/>
    <x v="204"/>
    <s v="01. CAFÉ CRU"/>
    <d v="2025-08-21T12:41:40"/>
    <s v="Talita Campos"/>
    <s v="IDEIAS-CAFÉ CRÚ"/>
    <d v="2025-08-21T12:41:40"/>
    <s v="Fechado"/>
    <s v="OPERAÇÃO"/>
  </r>
  <r>
    <s v="FB0112369"/>
    <s v="Bobina Raumak furada "/>
    <s v="Em andamento"/>
    <s v="Ideia do Alexandre Assis: Solicitar ao fornecedor que a bobina da Raumak já venha com a furação, evitando que tenhamos problema com variação da vertical na Fabrima pois não precisaria mais do furador. Ele comentou que na empresa anterior que ele trabalhava era assim e não tinha problemas._x000a__x000a_PEDRO FERREIRA: _x000a_Analisei com o pessoal de vendas, me passaram o emial do fornecedor (Zaraplast), mas é necessário reunir todos os coordenadores de manufatura e qualidade, para discutir a viabilidade dessa ideia. Assim, caso haja aprovação, Michelle ou Alexandre (criadores da ideia), podem entrar em contato diretamente com o fornecedor e solicitar a mudança, mas enquanto isso, aguardo aprovação da ideia pelos responsáveis que são Michelle, Relton ou Moises. Na aba de comentário estará o email do forncedor. "/>
    <x v="26"/>
    <s v="Pequena mudança local"/>
    <s v="Cost (GE, rework)"/>
    <x v="205"/>
    <s v="04. EMPACOTAMENTO"/>
    <d v="2026-09-11T13:37:26"/>
    <s v="Relton Moraes"/>
    <s v="APROVADORES DE IDEIAS"/>
    <m/>
    <s v="Aguardando Validação"/>
    <s v="ADM/TÉCNICO/ASSISTENTE/ESTAG."/>
  </r>
  <r>
    <s v="FB0112523"/>
    <s v="Chapa metálica no robo da fabrima 5"/>
    <s v="Fechado"/>
    <s v="Colocar uma chapa para fechar um buraco localizado no final da esteira do robo da fabrima 5, esse local era onde localizado o botão de start, assim, ficou um buraco com os fios. Dessa forma, para questão estética e segurança, colocar uma chapa para tapar esse buraco. "/>
    <x v="46"/>
    <s v="Pequena mudança local"/>
    <s v="Organisation of work"/>
    <x v="206"/>
    <s v="01. JDE CAFES DO BRASIL UNIDADE PIUMHI"/>
    <d v="2025-06-23T08:55:31"/>
    <s v="Pedro Ferreira"/>
    <s v="IDEIAS-MELHORIA CONTÍNUA"/>
    <d v="2025-06-23T08:55:31"/>
    <s v="Fechado"/>
    <s v="ADM/TÉCNICO/ASSISTENTE/ESTAG."/>
  </r>
  <r>
    <s v="FB0112544"/>
    <s v="melhoria de ma no CIL"/>
    <s v="Fechado"/>
    <s v="Separar os seguintes pontos de limpeza _x000a_* Roletes do freio _x000a_* Sensor da fotocélula _x000a_* Parte da frente da fabrima _x000a_* Lateral interna da fabrima _x000a_* Chão abaixo do tobogã da fabrima "/>
    <x v="52"/>
    <s v="Pequena mudança local"/>
    <s v="Cost (GE, rework)"/>
    <x v="207"/>
    <s v="02. LINHA 02"/>
    <d v="2025-11-05T08:50:50"/>
    <s v="Bianca Silva"/>
    <s v="APROVADORES DE IDEIAS"/>
    <d v="2025-11-05T08:50:50"/>
    <s v="Fechado"/>
    <s v="OPERAÇÃO"/>
  </r>
  <r>
    <s v="FB0112560"/>
    <s v="Balança"/>
    <s v="Em andamento"/>
    <s v="Uma balança próximo as fabrimas para pesar as bobinas quando necessário, no momento a única balança que tem é a da PKD, onde os operador das fabrimas tem que dar a volta na PKD para pesar as bobinas."/>
    <x v="14"/>
    <s v="Pequena mudança local"/>
    <s v="Organisation of work"/>
    <x v="208"/>
    <s v="04. EMPACOTAMENTO"/>
    <d v="2025-08-18T14:22:20"/>
    <s v="Aline Fernandes"/>
    <s v="APROVADORES DE IDEIAS"/>
    <m/>
    <s v="Aguardando Aprovação de CAPEX"/>
    <s v="OPERAÇÃO"/>
  </r>
  <r>
    <s v="FB0112603"/>
    <s v="bucha da vertical fabrima 5"/>
    <s v="Resolvido"/>
    <s v="A bucha de bronze da vertical da fabrima 5 , está com folga , poderia ser feito uma substituição dessa peça de um outro material EX: celeron ou outro material mais resistente ). Pois este está com folga na vertical e não tem como fazer reaperto "/>
    <x v="19"/>
    <s v="Pequena mudança local"/>
    <s v="Cost (GE, rework)"/>
    <x v="209"/>
    <s v="05. LINHA 05"/>
    <d v="2026-01-13T15:31:49"/>
    <s v="Andre Mendes Costa"/>
    <s v="APROVADORES DE IDEIAS"/>
    <m/>
    <s v="Resolvido"/>
    <s v="OPERAÇÃO"/>
  </r>
  <r>
    <s v="FB0112606"/>
    <s v="fabrima 5 manômetro para o ar comprimido "/>
    <s v="Fechado"/>
    <s v="Implementar manômetro regulador da pressão do ar comprimido na fabrima 2 / 3 , foi implementado na fabrima 4-5 , esse regulador de ar , foi colocado para evitar uma pressão mais que o necessário nos eixos expansivos , assim evitando furar as borrachas do eixo ._x000a__x000a_ANA MARTINS: MELHORIA JÁ FOI REALIZADA NAS FABRIMAS 2 E 3 TAMBEM! "/>
    <x v="19"/>
    <s v="Pequena mudança local"/>
    <s v="Processo"/>
    <x v="210"/>
    <s v="04. EMPACOTAMENTO"/>
    <d v="2025-10-31T10:18:56"/>
    <s v="Henrique Cardoso"/>
    <s v="APROVADORES DE IDEIAS"/>
    <d v="2025-10-31T10:18:56"/>
    <s v="Fechado"/>
    <s v="OPERAÇÃO"/>
  </r>
  <r>
    <s v="FB0112626"/>
    <s v="Arremessador "/>
    <s v="Resolvido"/>
    <s v="Foi conversado com a manutenção, Sobre fazer a lubrificação mensal no arremessador, mas foi sugerido fazer na programação da preventiva, pois já ocorreu falha no arremessador na fábrica 02 sobre ele ficar travando e foi necessário fazer somente uma lubrificação e acompanhar e também mexer nos parâmetros do arremessador _x000a__x000a_ANA MARTINS: ANDRE VAI VERIFICAR A INCERÇÃO NA PROGRAMAÇÃO DA PREVENTIVA"/>
    <x v="23"/>
    <s v="Pequena mudança local"/>
    <s v="Processo"/>
    <x v="211"/>
    <s v="04. EMPACOTAMENTO"/>
    <d v="2026-03-13T16:51:03"/>
    <s v="Andre Mendes Costa"/>
    <s v="APROVADORES DE IDEIAS"/>
    <m/>
    <s v="Resolvido"/>
    <s v="OPERAÇÃO"/>
  </r>
  <r>
    <s v="FB0112888"/>
    <s v="numerar  dos roletes fabrima 5"/>
    <s v="Fechado"/>
    <s v="Colocar numerações nos roletes das fabrimas , para evitar passagem do filme errado "/>
    <x v="19"/>
    <s v="Pequena mudança local"/>
    <s v="Cost (GE, rework)"/>
    <x v="212"/>
    <s v="05. LINHA 05"/>
    <d v="2025-10-16T11:26:04"/>
    <s v="Moises Costa"/>
    <s v="APROVADORES DE IDEIAS"/>
    <d v="2025-10-16T11:26:04"/>
    <s v="Fechado"/>
    <s v="OPERAÇÃO"/>
  </r>
  <r>
    <s v="FB0113132"/>
    <s v="mesa para fabrima 5"/>
    <s v="Em andamento"/>
    <s v="A fabrima 5 não tem uma mesinha , onde os operadores realizam as análises e colocam os materiais de trabalho, acabando usando o acrílico de proteção da balança como mesa, poderia colocar uma mesa na linha 5_x000a__x000a_Relton: Foi alinhado com a Operadora para verificar com os outros operadores o melhor local para colocar a mesa, tendo em vista que a linha e muito apertada."/>
    <x v="19"/>
    <s v="Pequena mudança local"/>
    <s v="Organisation of work"/>
    <x v="213"/>
    <s v="05. LINHA 05"/>
    <d v="2025-10-27T13:42:44"/>
    <s v="Relton Moraes"/>
    <s v="APROVADORES DE IDEIAS"/>
    <m/>
    <s v="Aguardando Orçamento"/>
    <s v="OPERAÇÃO"/>
  </r>
  <r>
    <s v="FB0113374"/>
    <s v="modo em Stand-by (câmera de torra sem café )"/>
    <s v="Fechado"/>
    <s v="Toada vês que torradores estiver e modo de Stand-by tem deixar a rosca intermitentes a 15% ._x000a_HIAGO: verifricar com Izabela, pois este tema está contemplado na IT criada recetemente"/>
    <x v="2"/>
    <s v="Pequena mudança local"/>
    <s v="Processo"/>
    <x v="214"/>
    <s v="02. TORREFAÇÃO"/>
    <d v="2025-10-31T10:17:38"/>
    <s v="Izabela Pugliesi"/>
    <s v="IDEIAS-PROCESSOS"/>
    <d v="2025-10-31T10:17:38"/>
    <s v="Fechado"/>
    <s v="OPERAÇÃO"/>
  </r>
  <r>
    <s v="FB0113375"/>
    <s v="modo torradores torando os café na câmera de torra "/>
    <s v="Resolvido"/>
    <s v="Toda vez que estiver torrando os café na câmera de torra tem que colocar a rosca intermitente  24% a  28 %._x000a__x000a_HIAGO: Verificar com Izabela pois este tema está na IT criada recentemente."/>
    <x v="2"/>
    <s v="Pequena mudança local"/>
    <s v="Qualidade"/>
    <x v="215"/>
    <s v="02. TORREFAÇÃO"/>
    <d v="2026-07-10T11:32:08"/>
    <s v="Izabela Pugliesi"/>
    <s v="APROVADORES DE IDEIAS"/>
    <m/>
    <s v="Resolvido"/>
    <s v="OPERAÇÃO"/>
  </r>
  <r>
    <s v="FB0113378"/>
    <s v="temperatura do ar de entrada ( sem café)"/>
    <s v="Cancelado"/>
    <s v="Deixa a temperatura do ar de entrada 180 graus celsius ( para evitar atraso de café na câmeras de torra)_x000a__x000a_HIAGO: Por manufatura está validado, necessário veriricar com Engenharia de Processos se é viável ou se acarreta em algum impacto."/>
    <x v="2"/>
    <s v="Pequena mudança local"/>
    <s v="Processo"/>
    <x v="216"/>
    <s v="02. TORREFAÇÃO"/>
    <d v="2025-07-15T10:52:16"/>
    <m/>
    <s v="IDEIAS-PROCESSOS"/>
    <d v="2025-07-15T10:52:16"/>
    <s v="Cancelado"/>
    <s v="OPERAÇÃO"/>
  </r>
  <r>
    <s v="FB0113452"/>
    <s v="Ideia de Melhoria Para limpeza das balanças."/>
    <s v="Fechado"/>
    <s v="Uma vez por mês temos que realizar limpeza interna das balanças de café torrado, porém temos dificuldade para conseguir acesso seguro para realizar essas atividades. Atualmente temos que subir sobre a tubulação do cablevey conforme foto 3 ilustrada para conseguirmos realizar as atividades._x000a_A ideia seria criarmos uma plataforma de grade conforme foto 1 e 2 para trabalharmos de forma segura e de boa Prática e eliminando os risco de obter quaisquer escorregamento sobre os Cablevey._x000a__x000a_Obs: Essa criação dessa grade para acesso nosso time de manutenção ( Cleiton ) já realizou a verificação para criação e informou que consegue fazer sem ser preciso de pessoas terceirizados, pois temos os matérias para criação._x000a__x000a_ANA MARTINS: Programar Cleiton para Executar._x000a_HIAGO DANTAS:  Ideia aprovada, vai reduzir muito o risco de segurança da atividade. Importante validar com SHE a melhor forma de construção (Ex.; deve ter guarda corpo? dimensões?) após isso validar com Operadores para ter aprovação do projeto final_x000a__x000a_SHE: Aprovado. Podemos seguir com a idea. Entretanto como o Hiago citou temos alguns passos para serem seguidos. A plataforma deve atender a requisitos de norma tal como guarda corpo, degrau e piso da plataforma. Se seguirmos com projeto (CAPEX) deve ser aberto uma TAP. "/>
    <x v="29"/>
    <s v="Pequena mudança local"/>
    <s v="Processo"/>
    <x v="217"/>
    <s v="02. TORREFAÇÃO"/>
    <d v="2026-02-09T14:31:41"/>
    <s v="Ana Martins"/>
    <s v="IDEIAS-PROCESSOS"/>
    <d v="2026-02-09T14:31:41"/>
    <s v="Fechado"/>
    <s v="OPERAÇÃO"/>
  </r>
  <r>
    <s v="FB0113582"/>
    <s v="Faixa de Pedestre"/>
    <s v="Cancelado"/>
    <s v="Pintar faixa de pedestre entre os pontos seguros da logística. A ideia é orientar o fluxo de pessoas na área de movimentação de empilhadeira, considerando que de um ponto a outro não tem contenção nem direcionamento. Quando o pedestre entra na logística aumenta o risco de acidente por possibilitar o acesso entre os palets e fora do campo de visão do operador."/>
    <x v="60"/>
    <s v="Pequena mudança local"/>
    <s v="Safety - Health"/>
    <x v="218"/>
    <s v="08. LOGISTICA"/>
    <d v="2025-11-25T13:25:44"/>
    <m/>
    <s v="IDEIAS-LOGÍSTICA"/>
    <d v="2025-11-25T13:25:44"/>
    <s v="Cancelado"/>
    <s v="ADM/TÉCNICO/ASSISTENTE/ESTAG."/>
  </r>
  <r>
    <s v="FB0113584"/>
    <s v="Sinalização de Ponto Seguro"/>
    <s v="Em andamento"/>
    <s v="Criar na fábrica uma sinalização (placa e demarcação no chão) de onde devemos aguardar que seja um &quot;Ponto Seguro&quot;. Inicialmente a ideia surgiu na Logística mas entendo que poderia ser também utilizado nos pontos do Torrador, Moinho, Empacotamento pois as vezes vamos falar com os operadores e não temos um ponto especifico para aguardar e ficamos em locais que tem risco ou impactam a operação._x000a__x000a_"/>
    <x v="60"/>
    <s v="Pequena mudança local"/>
    <s v="Safety - Health"/>
    <x v="219"/>
    <s v="06. ADMINISTRATIVO"/>
    <d v="2026-09-11T13:54:03"/>
    <s v="Fabrizia Soares"/>
    <s v="APROVADORES DE IDEIAS"/>
    <m/>
    <s v="Aguardando Orçamento"/>
    <s v="ADM/TÉCNICO/ASSISTENTE/ESTAG."/>
  </r>
  <r>
    <s v="FB0113693"/>
    <s v="DDSHEQ"/>
    <s v="Resolvido"/>
    <s v="Realizar a troca do dia da semana do DDSHQ que ocorre nas quintas feiras para sexta feira, para que as limpezas das peneiras possam se iniciar no início do turno._x000a__x000a_----------------------------------_x000a__x000a_SHE: aprovado. Não há impacto negativa na mudança._x000a__x000a_Pedro Ferreira: Ideia deve ser analisada pela Manufatura."/>
    <x v="1"/>
    <s v="Pequena mudança local"/>
    <s v="Safety - Health"/>
    <x v="220"/>
    <s v="01. LINHA 01"/>
    <d v="2025-10-29T09:19:22"/>
    <s v="Michelle Faria"/>
    <s v="IDEIAS-VACUO"/>
    <m/>
    <s v="Resolvido"/>
    <s v="OPERAÇÃO"/>
  </r>
  <r>
    <s v="FB0113704"/>
    <s v="silo nao sendo utilidade podendo dar utilidade a ele "/>
    <s v="Cancelado"/>
    <s v="Por o silo que era da máquina de grão ,para ser de reprocesso ,sendo que a desmontagem dele ficará mais caro do que fazer a ligação dele para os 8 silo de pó deixar destinado só para dosagem e não mas necessário fazer mudança de inversos deixar no lugar fixo se tornando este silos inutilizáveis o silo de sacrifício "/>
    <x v="9"/>
    <s v="Pequena mudança local"/>
    <s v="Cost (GE, rework)"/>
    <x v="221"/>
    <s v="03. MOAGEM"/>
    <d v="2025-11-12T14:55:05"/>
    <m/>
    <s v="IDEIAS-PROCESSOS"/>
    <d v="2025-11-12T14:55:05"/>
    <s v="Cancelado"/>
    <s v="OPERAÇÃO"/>
  </r>
  <r>
    <s v="FB0113714"/>
    <s v="Parâmetro de dosagem "/>
    <s v="Em andamento"/>
    <s v="Retirada do parâmetro de dosagem do centerlining das fabrimas 2 e 3, pois todo café que está no silo é diferente, e esse parâmetro de dosagem é um parâmetro que depende muito do tipo do café, onde ele pode variar tanto pra menos quanto para mais."/>
    <x v="14"/>
    <s v="Pequena mudança local"/>
    <s v="Cost (GE, rework)"/>
    <x v="222"/>
    <s v="02. LINHA 02"/>
    <d v="2025-09-09T18:24:44"/>
    <s v="Relton Moraes"/>
    <s v="APROVADORES DE IDEIAS"/>
    <m/>
    <s v="Aguardando Execução "/>
    <s v="OPERAÇÃO"/>
  </r>
  <r>
    <s v="FB0113718"/>
    <s v="melhora o preenchimento do quadro de ops1 da moagem "/>
    <s v="Resolvido"/>
    <s v="Passado para os operadores da moagem fazer um preenchimento mais detalhado e onde só coloríamos começarmos a colocar o maior impacto _x000a_Com a maior parada ex ( sc - fc - sp ) um desses três, assim o operador que chega vai saber o real motivo do quadro estar cheio ou vazio _x000a_Se ele não conseguir pegar a ops1"/>
    <x v="28"/>
    <s v="Pequena mudança local"/>
    <s v="Cost (GE, rework)"/>
    <x v="223"/>
    <s v="03. MOAGEM"/>
    <d v="2025-09-25T15:09:26"/>
    <m/>
    <s v="IDEIAS-PROCESSOS"/>
    <m/>
    <s v="Resolvido"/>
    <s v="OPERAÇÃO"/>
  </r>
  <r>
    <s v="FB0113719"/>
    <s v="aumenta o tempo de descanso do café em pó "/>
    <s v="Rascunho"/>
    <s v="Fazer alguns testes nos silos de pó da moagem para conseguirmos ganhar mais tempo neles, assim podemos deixar mais cafés descansados para as máquinas, evitando dar falta de café devido a moagem, com isso melhoraria a performance dos moinhos onde eles não precisam ficar parando com silos cheios e deixaria o torrador bem menos parado "/>
    <x v="28"/>
    <s v="Grande mudança local"/>
    <s v="Processo"/>
    <x v="224"/>
    <s v="03. MOAGEM"/>
    <d v="2026-06-30T14:07:44"/>
    <m/>
    <s v="APROVADORES DE IDEIAS"/>
    <m/>
    <s v="Rascunho"/>
    <s v="OPERAÇÃO"/>
  </r>
  <r>
    <s v="FB0113912"/>
    <s v="Acrilico no quadro das Fabrimas "/>
    <s v="Resolvido"/>
    <s v="Colocar um acrilico para poder colocar os formulários de Troca de Produto na linha, mais próximo da operação ajudando na rapidez da troca de produto._x000a__x000a_RETORNO:_x000a_[LUZIA] estou comprando alguns acrílicos para a área de treinamentos e consigo ceder um para esta demanda também._x000a__x000a_Sugestão: Bianca, não conseguimos colocar esse formulário no DMOS ou no FORMS para eliminar o papel?"/>
    <x v="20"/>
    <s v="Pequena mudança local"/>
    <s v="Cost (GE, rework)"/>
    <x v="225"/>
    <s v="06. ADMINISTRATIVO"/>
    <d v="2026-07-03T10:52:42"/>
    <s v="Flavia Silveira"/>
    <s v="APROVADORES DE IDEIAS"/>
    <m/>
    <s v="Resolvido"/>
    <s v="ADM/TÉCNICO/ASSISTENTE/ESTAG."/>
  </r>
  <r>
    <s v="FB0113971"/>
    <s v="Instalar uma televisão no MOS ACADEMY para treinamentos e reuniões"/>
    <s v="Fechado"/>
    <s v="Instalar uma televisão no MOS ACADEMY para treinamentos e reuniões (a que ficava lá é da manufatura, foi retirada e não voltará a ficar fixa no local)."/>
    <x v="43"/>
    <s v="Pequena mudança local"/>
    <s v="Organisation of work"/>
    <x v="226"/>
    <s v="06. ADMINISTRATIVO"/>
    <d v="2025-07-14T15:32:15"/>
    <m/>
    <s v="IDEIAS-ADMINISTRATIVO"/>
    <d v="2025-07-14T15:32:15"/>
    <s v="Fechado"/>
    <s v="ADM/TÉCNICO/ASSISTENTE/ESTAG."/>
  </r>
  <r>
    <s v="FB0114031"/>
    <s v="balança perto das fabrimas "/>
    <s v="Em andamento"/>
    <s v="Colocar a balança para uma posição que não dificulta tanto o time de fabrima usá-la , na correria do turno para refazer uma pesagem de bobina fica mais trabalhoso, poderia colocar perto do filtro d água da PKD , ou uma embaixo do distribuidores "/>
    <x v="19"/>
    <s v="Pequena mudança local"/>
    <s v="Yeld"/>
    <x v="227"/>
    <s v="05. LINHA 05"/>
    <d v="2025-08-04T06:07:15"/>
    <s v="Aline Fernandes"/>
    <s v="APROVADORES DE IDEIAS"/>
    <m/>
    <s v="Aguardando Aprovação de CAPEX"/>
    <s v="OPERAÇÃO"/>
  </r>
  <r>
    <s v="FB0114076"/>
    <s v="Modificação formulário PKD "/>
    <s v="Fechado"/>
    <s v="Gostaria de sugerir que os campos de “Silo” e “Horário de Início/Fim do Silo” sejam adicionados novamente ao formulário da PKD, assim como já existe no formulário das Fabrimas._x000a__x000a_Esses campos estavam presentes antes, mas foram retirados por serem considerados duplicados em relação ao Formulário de Tempo de Descanso. O problema é que, quando esse formulário não é preenchido corretamente, os assistentes precisam corrigir manualmente. Com o projeto Perdas Zero, também não conseguimos mais visualizar no MOP a parada de &quot;Troca de Silo&quot;, e isso acaba sendo registrado com base em suposições._x000a__x000a_Se for necessário fazer rastreabilidade e o operador errar o horário por 1 pallet, isso já representa 480 kg, o que faz muita diferença. Por isso, vejo esses campos não como uma duplicação, mas como uma confirmação importante, que ajuda a garantir a rastreabilidade."/>
    <x v="20"/>
    <s v="Pequena mudança local"/>
    <s v="Qualidade"/>
    <x v="228"/>
    <s v="01. LINHA 01"/>
    <d v="2025-11-05T08:50:18"/>
    <s v="Bianca Silva"/>
    <s v="IDEIAS-VACUO"/>
    <d v="2025-11-05T08:50:18"/>
    <s v="Fechado"/>
    <s v="ADM/TÉCNICO/ASSISTENTE/ESTAG."/>
  </r>
  <r>
    <s v="FB0114091"/>
    <s v="Sensor de parada caixa box encaixotadora "/>
    <s v="Fechado"/>
    <s v="Realizar a colocação de chave seletora de liga e desliga no sensor de parada de caixa ,porque quando a falha na encaixotadora e ela para fora do ponto a necessidade de desligar o sensor manualmente para que a encaixotadora não execute manobra errada depois a necessidade de para para o religamento do sensor manualmente que é o acoplamento do cabo essa manobra é realizada afim de garantir que não aja avaria no equipamento mas resultando em tempo de parada de máquina maior._x000a_Ideia essa discutida com os Manutentores Wallace e Arthur que se dispõe a realizar . Com material de almoxarifado _x000a_Time Patrick Wesley Wallace e Arthur "/>
    <x v="1"/>
    <s v="Pequena mudança local"/>
    <s v="Cost (GE, rework)"/>
    <x v="229"/>
    <s v="01. LINHA 01"/>
    <d v="2025-07-28T10:22:55"/>
    <m/>
    <s v="IDEIAS-VACUO"/>
    <d v="2025-07-28T10:22:55"/>
    <s v="Fechado"/>
    <s v="OPERAÇÃO"/>
  </r>
  <r>
    <s v="FB0114100"/>
    <s v="dispositivo de fita para fazer emenda na troca de bobina "/>
    <s v="Fechado"/>
    <s v="Facilitar para o operador da linha na hora da troca da bobina,ao fazer emenda da bobina com a fita._x000a_Fazer a emenda com mais facilidade e ganhando mais tempo na troca da bobina._x000a_"/>
    <x v="6"/>
    <s v="Pequena mudança local"/>
    <s v="Cost (GE, rework)"/>
    <x v="230"/>
    <s v="01. LINHA 01"/>
    <d v="2025-07-25T09:39:13"/>
    <m/>
    <s v="IDEIAS-VACUO"/>
    <d v="2025-07-25T09:39:13"/>
    <s v="Fechado"/>
    <s v="OPERAÇÃO"/>
  </r>
  <r>
    <s v="FB0114113"/>
    <s v="vazamento de café nas peneiras"/>
    <s v="Em andamento"/>
    <s v="São pequenos pontos de vazamento,que trás uma perda constante de café ,trazendo uma grande perda e prejuízo para nossa imprensa _x000a_Hoje cada grão conta  ,mostrando a nossa preocupação e resolvendo este problema "/>
    <x v="3"/>
    <s v="Pequena mudança local"/>
    <s v="Yeld"/>
    <x v="231"/>
    <s v="03. MOAGEM"/>
    <d v="2026-04-20T18:36:11"/>
    <s v="Moises Costa"/>
    <s v="IDEIAS-PROCESSOS"/>
    <m/>
    <s v="Aguardando material "/>
    <s v="OPERAÇÃO"/>
  </r>
  <r>
    <s v="FB0114275"/>
    <s v="Monitoramento de corrente dos inversores"/>
    <s v="Em andamento"/>
    <s v="Instalação da placa de rede nos inversores de frequência relacionado aos sopradores, com isso iremos conseguir monitorar a corrente e a frequência, para fazer um diagnóstico mais especifico do porque ocorre o desarme dos sopradores com frequência._x000a__x000a_Ideia vista junto ao Igor e o Rubens da ENG."/>
    <x v="61"/>
    <s v="Pequena mudança local"/>
    <s v="Processo"/>
    <x v="232"/>
    <s v="08. SOPRADORES"/>
    <d v="2025-09-08T10:44:47"/>
    <s v="Igor Sousa"/>
    <s v="IDEIAS-CAFÉ CRÚ"/>
    <m/>
    <s v="Aguardando Execução "/>
    <s v="ADM/TÉCNICO/ASSISTENTE/ESTAG."/>
  </r>
  <r>
    <s v="FB0114415"/>
    <s v="Usar potes de louça ou de plástico laváveis para eliminar o plástico do pote usado para caldos."/>
    <s v="Cancelado"/>
    <s v="Usar potes de louça ou de plástico laváveis para eliminar o plástico do pote usado para caldos no almoço. A ideia eliminaria a geração desse resíduo."/>
    <x v="41"/>
    <s v="Pequena mudança local"/>
    <s v="Qualidade"/>
    <x v="233"/>
    <s v="06. ADMINISTRATIVO"/>
    <d v="2025-07-15T10:52:04"/>
    <m/>
    <s v="IDEIAS-ADMINISTRATIVO"/>
    <d v="2025-07-15T10:52:04"/>
    <s v="Cancelado"/>
    <s v="ADM/TÉCNICO/ASSISTENTE/ESTAG."/>
  </r>
  <r>
    <s v="FB0114419"/>
    <s v="Usar colheres de metal para substituir colheres usadas para bolo e sobremesa no almoço"/>
    <s v="Fechado"/>
    <s v="Usar colheres de metal para substituir colheres usadas para bolo e sobremesa no almoço  iria remover o resíduo gerado pelas colheres descartáveis usadas durante as alimentações.   "/>
    <x v="41"/>
    <s v="Pequena mudança local"/>
    <s v="Meio Ambiente"/>
    <x v="234"/>
    <s v="06. ADMINISTRATIVO"/>
    <d v="2025-07-23T13:25:10"/>
    <s v="Ana Pereira"/>
    <s v="IDEIAS-ADMINISTRATIVO"/>
    <d v="2025-07-23T13:25:10"/>
    <s v="Fechado"/>
    <s v="ADM/TÉCNICO/ASSISTENTE/ESTAG."/>
  </r>
  <r>
    <s v="FB0114559"/>
    <s v="acesso a parte superior dos silos"/>
    <s v="Cancelado"/>
    <s v="Minha ideia seria continuar com a escada com guarda mão que já está na metade do caminho faltando só mai duas elevações chegando a parte superior dos silos com isto reduziria o tempo de suporte da manutenção  reduziria o tempo de parada entre descarga e abastecimento de silos de café cru"/>
    <x v="7"/>
    <s v="Pequena mudança local"/>
    <s v="Organisation of work"/>
    <x v="235"/>
    <s v="09.19 SALA DE PRODUTOS QUÍMICOS "/>
    <d v="2026-04-08T16:51:55"/>
    <m/>
    <s v="IDEIAS-SHE"/>
    <d v="2026-04-08T16:51:55"/>
    <s v="Cancelado"/>
    <s v="OPERAÇÃO"/>
  </r>
  <r>
    <s v="FB0114581"/>
    <s v="Melhoria no Esteirão. "/>
    <s v="Cancelado"/>
    <s v="Instalar um Redler de corrente transportadora substituindo correia do esteirão de Cavaco, devido ao longo histórico de paradas no esteirão por embuchamento que vem ocorrendo desde sempre, o “Redler de corrente transportadora” possui pás que auxiliam na tração do transporte do cavaco evitando que acumulo em um ponto e obstrução do fluxo. "/>
    <x v="40"/>
    <s v="Grande mudança local"/>
    <s v="Cost (GE, rework)"/>
    <x v="236"/>
    <s v="02. SISTEMA DE CAVACO"/>
    <d v="2025-07-12T14:05:31"/>
    <m/>
    <s v="IDEIAS-PROCESSOS"/>
    <d v="2025-07-12T14:05:31"/>
    <s v="Cancelado"/>
    <s v="OPERAÇÃO"/>
  </r>
  <r>
    <s v="FB0114589"/>
    <s v="PONTO DE AR COMPRIMIDO COM REGULAGEM DE PRESSÃO COM PISTOLA INTERNA NAS FABRIMAS"/>
    <s v="Fechado"/>
    <s v="PONTO DE AR COMPRIMIDO COM REGULAGEM DE PRESSÃO COM PISTOLA INTERNA PARA INFLAR O EIXO EXPANSIVO, DIMINUINDO O TEMPO E ELIMINANDO PROBLEMA DE DANIFICAR AS CÂMARAS DE AR DOS EIXOS"/>
    <x v="62"/>
    <s v="Pequena mudança local"/>
    <s v="Organisation of work"/>
    <x v="237"/>
    <s v="04. EMPACOTAMENTO"/>
    <d v="2025-07-28T10:23:08"/>
    <m/>
    <s v="APROVADORES DE IDEIAS"/>
    <d v="2025-07-28T10:23:08"/>
    <s v="Fechado"/>
    <s v="ADM/TÉCNICO/ASSISTENTE/ESTAG."/>
  </r>
  <r>
    <s v="FB0114727"/>
    <s v="sinalização de saída "/>
    <s v="Fechado"/>
    <s v="Sinalização de saída de emergência concluído ‘ contener da manufatura estava sem placa de sinalização de saída . abri uma etiqueta para q possa ser sinalizado uma placa onde podemos verificar a saída correta do local . As sinalizações são legais pois nos mostra onde podemos entrar e sair do local sem dificuldades e com segurança em nosso primeiro lugar grato pelo atendimento correto "/>
    <x v="63"/>
    <s v="Pequena mudança local"/>
    <s v="Safety - Health"/>
    <x v="238"/>
    <s v="01. JDE CAFES DO BRASIL UNIDADE PIUMHI"/>
    <d v="2025-07-28T10:57:45"/>
    <m/>
    <s v="IDEIAS-MELHORIA CONTÍNUA"/>
    <d v="2025-07-28T10:57:45"/>
    <s v="Fechado"/>
    <s v="OPERAÇÃO"/>
  </r>
  <r>
    <s v="FB0114818"/>
    <s v="placa de identificação "/>
    <s v="Fechado"/>
    <s v="Criar placas de identificação para as bombas de vácuo da PKD _x000a_Como segue exemplo _x000a_Bomba vácuo  1 _x000a_Bomba vácuo 2 _x000a_Bomba vácuo 3 _x000a_Bomba vácuo. Backup_x000a_ Ideia discutida com Pedro Ferreira "/>
    <x v="1"/>
    <s v="Pequena mudança local"/>
    <s v="Organisation of work"/>
    <x v="239"/>
    <s v="01. LINHA 01"/>
    <d v="2025-08-15T08:19:50"/>
    <s v="Pedro Ferreira"/>
    <s v="IDEIAS-VACUO"/>
    <d v="2025-08-15T08:19:50"/>
    <s v="Fechado"/>
    <s v="OPERAÇÃO"/>
  </r>
  <r>
    <s v="FB0114872"/>
    <s v="Instalação de suspiro Nas balança cafe torrado"/>
    <s v="Em andamento"/>
    <s v="_x000a_Descrição da Situação Atual:_x000a_Na planta, existem duas balanças utilizadas na blendagem de café. A balança ( Linha Modelo) possui um suspiro (filtro metálico de ventilação) que permite a troca de ar e alívio da pressão interna, mantendo um ambiente seco e estável._x000a__x000a_A balança que será replicado, por outro lado, não possui suspiro, o que tem causado os seguintes problemas operacionais e de qualidade:_x000a__x000a_Formação de suor (condensação) no interior da balança;_x000a_Desenvolvimento de bolor, devido ao ambiente úmido e fechado;_x000a_Aumento de ponto de atenção nessa área, afetando sua qualidade e estabilidade;_x000a_Risco de desclassificação do produto por não atender aos padrões exigidos e entre outros._x000a_Proposta de Melhoria:_x000a_Replicar nas balanças o mesmo modelo de suspiro utilizado na balança MODELO. O suspiro será instalado na parte lateral das balança, permitindo a ventilação e prevenindo acúmulo de vapor e umidade._x000a__x000a_✅ Benefícios Esperados:_x000a_Eliminação de suor e bolor no interior da balança;_x000a_Preservação da qualidade do café, evitando aumento indesejado de umidade;_x000a_Redução de riscos sanitários e contaminação por fungos;_x000a_Estabilização do processo de pesagem entre as balanças;_x000a_Menor necessidade de retrabalho e descarte de produto._x000a_Recursos Necessários:_x000a_Algumas unidade de suspiro metálico com tela de ventilação (modelo igual ao da balança foto 3);_x000a_Parafusos e junta de vedação;_x000a_Apoio da equipe de manutenção para instalação segura"/>
    <x v="29"/>
    <s v="Pequena mudança local"/>
    <s v="Qualidade"/>
    <x v="240"/>
    <s v="02. TORREFAÇÃO"/>
    <d v="2026-03-23T13:19:05"/>
    <s v="Ana Martins"/>
    <s v="IDEIAS-PROCESSOS"/>
    <m/>
    <s v="Aguardando Execução "/>
    <s v="OPERAÇÃO"/>
  </r>
  <r>
    <s v="FB0114999"/>
    <s v="colocar uma câmera na caçamba de película do torrador 2"/>
    <s v="Em andamento"/>
    <s v="Na foto acima temos a possibilidade de acompanhar as caçambas do torrador 1e3 , o que nos auxilia muito afim de se evitar a obstrução das roscas inclinada e plana de película,a ideia é colocar uma câmera na caçamba do torrador 2 tbm pois em determinados momentos, como absenteísmo horário de refeições é comum estarmos somente com 1 dos operadores, evitando assim entupimento do ciclone torrador o que quando acontece gera grande impacto por parada_x000a_Se uma caçamba de película enche e o sensor não atuar gera acúmulo de película nas roscas plana e inclinada e em sequência o entupimento do ciclone de torra o qual gera grande impacto na produção,pois é necessário encerrar o torrador para resolver o problema _x000a__x000a_------------------------_x000a_Pedro Ferreira: Precisamos definir o local exato."/>
    <x v="64"/>
    <s v="Pequena mudança local"/>
    <s v="Processo"/>
    <x v="241"/>
    <s v="02. TORREFAÇÃO"/>
    <d v="2026-03-10T10:51:56"/>
    <s v="Ana Martins"/>
    <s v="IDEIAS-PROCESSOS"/>
    <m/>
    <s v="Aguardando Orçamento"/>
    <s v="OPERAÇÃO"/>
  </r>
  <r>
    <s v="FB0115057"/>
    <s v="Realizar melhoria na caixa de jogada de big bag"/>
    <s v="Resolvido"/>
    <s v="Colocar uma chapa por dentro da porta para não jogar café fora (cada grão conta). _x000a__x000a_MANUTENÇÃO: ESTÁ VAZANDO COM A PORTA FECHADA? VERIFICAR SE SIM ETIQUETA!"/>
    <x v="10"/>
    <s v="Pequena mudança local"/>
    <s v="Cost (GE, rework)"/>
    <x v="242"/>
    <s v="01. CAFÉ CRU"/>
    <d v="2026-03-16T15:02:46"/>
    <m/>
    <s v="IDEIAS-CAFÉ CRÚ"/>
    <m/>
    <s v="Resolvido"/>
    <s v="OPERAÇÃO"/>
  </r>
  <r>
    <s v="FB0115058"/>
    <s v="Plataforma para organização de 5S para lonas e big bags"/>
    <s v="Resolvido"/>
    <s v="Fazer uma plataforma de chapa para colocar lonas e big bags (70 cmx70cm por 60 cm de largura) "/>
    <x v="10"/>
    <s v="Pequena mudança local"/>
    <s v="Organisation of work"/>
    <x v="243"/>
    <s v="01. CAFÉ CRU"/>
    <d v="2026-07-02T13:58:56"/>
    <s v="Valeria Yanez"/>
    <s v="APROVADORES DE IDEIAS"/>
    <m/>
    <s v="Resolvido"/>
    <s v="OPERAÇÃO"/>
  </r>
  <r>
    <s v="FB0115059"/>
    <s v="Armário para guardar medidor de umidade de Cavaco "/>
    <s v="Em andamento"/>
    <s v="Fazer um armário para guardar o medidor de umidade de cavaco fixado na parede, com intuito de facilitar a locomoção, auxiliando na ergonomia. Além disso, é importante retirá-lo da poeira para que não danifique o material. "/>
    <x v="10"/>
    <s v="Pequena mudança local"/>
    <s v="Organisation of work"/>
    <x v="244"/>
    <s v="01. CAFÉ CRU"/>
    <d v="2026-04-20T17:45:51"/>
    <s v="Valeria Yanez"/>
    <s v="IDEIAS-CAFÉ CRÚ"/>
    <m/>
    <s v="Aguardando Execução "/>
    <s v="OPERAÇÃO"/>
  </r>
  <r>
    <s v="FB0115060"/>
    <s v="Confeccionar ganchos para segurança da empilhadeira de jogada de cavaco"/>
    <s v="Cancelado"/>
    <s v="Colocar 2 ganchos com duas correntes (1 em cada), com intuito de facilitar para o operador, visto que o operador para passar a corrente na torre da empilhadeira tem que fazer de forma manual, causando risco de prensar os dedos e gerar acidente. _x000a__x000a_SHE: estamos com o plano de eliminar os ganchos da fábrica. A implementação do gancho não será possível. Estamos em negociação com o fornecedor que aluga as empilhadeiras de termos um dispositivo que vai girar a lança em 360°. Ideia não aprovada."/>
    <x v="10"/>
    <s v="Pequena mudança local"/>
    <s v="Safety - Health"/>
    <x v="245"/>
    <s v="01. CAFÉ CRU"/>
    <d v="2025-07-24T09:21:15"/>
    <m/>
    <s v="IDEIAS-CAFÉ CRÚ"/>
    <d v="2025-07-24T09:21:15"/>
    <s v="Cancelado"/>
    <s v="OPERAÇÃO"/>
  </r>
  <r>
    <s v="FB0115440"/>
    <s v="Adicionar o subcódigo de &quot;Bailarina&quot; nas Fabrimas"/>
    <s v="Resolvido"/>
    <s v="Ideia da Ângela: Incluir o apontamento da bailarina na lista de códigos_x000a__x000a_Relton: Realizado! "/>
    <x v="26"/>
    <s v="Pequena mudança local"/>
    <s v="Cost (GE, rework)"/>
    <x v="246"/>
    <s v="04. EMPACOTAMENTO"/>
    <d v="2025-10-31T15:40:24"/>
    <s v="Relton Moraes"/>
    <s v="APROVADORES DE IDEIAS"/>
    <m/>
    <s v="Resolvido"/>
    <s v="ADM/TÉCNICO/ASSISTENTE/ESTAG."/>
  </r>
  <r>
    <s v="FB0115519"/>
    <s v="ter uma balança fixa no empacotamento "/>
    <s v="Em andamento"/>
    <s v="Para melhor manejo com resto de bobinas ou bobinas com defeito, para também pesar os rejeitos( CGC), rejeito orgânico e embalagens._x000a__x000a_-------------------------------------------_x000a_"/>
    <x v="65"/>
    <s v="Pequena mudança local"/>
    <s v="Safety - Health"/>
    <x v="247"/>
    <s v="04. EMPACOTAMENTO"/>
    <d v="2026-01-29T13:43:28"/>
    <s v="Pedro Ferreira"/>
    <s v="APROVADORES DE IDEIAS"/>
    <m/>
    <s v="Aguardando Aprovação de CAPEX"/>
    <s v="OPERAÇÃO"/>
  </r>
  <r>
    <s v="FB0115629"/>
    <s v="substituição da corda de despejar cavaco para uma cinta "/>
    <s v="Cancelado"/>
    <s v="Precisamos substituir a corda utilizada para despejar o cavaco por uma cinta de catraca automática, pois assim evitaremos que a corda se solte por completo danificando a corda e a empilhadeira. Para essa substituição iremos precisar de uma cinta de carga de catraca automática e instalação de 2 suportes nesses locais demarcados_x000a__x000a_SHE: reprovado. Estamos desenvolvendo outro mecanismo para esta atividade."/>
    <x v="10"/>
    <s v="Pequena mudança local"/>
    <s v="Safety - Health"/>
    <x v="248"/>
    <s v="01. CAFÉ CRU"/>
    <d v="2025-09-10T10:43:24"/>
    <m/>
    <s v="IDEIAS-CAFÉ CRÚ"/>
    <d v="2025-09-10T10:43:24"/>
    <s v="Cancelado"/>
    <s v="OPERAÇÃO"/>
  </r>
  <r>
    <s v="FB0115697"/>
    <s v="obter algum carrinho ou algo para ajudar virar os tambores de rejeitos na caçamba "/>
    <s v="Resolvido"/>
    <s v="Os tambores de rejeitos são bem pesados, se tivesse algum item que pudesse ajudar a virar dentro da caçamba colaboraria com os funcionários."/>
    <x v="65"/>
    <s v="Pequena mudança local"/>
    <s v="Safety - Health"/>
    <x v="249"/>
    <s v="04. EMPACOTAMENTO"/>
    <d v="2025-10-03T10:17:15"/>
    <m/>
    <s v="APROVADORES DE IDEIAS"/>
    <m/>
    <s v="Resolvido"/>
    <s v="OPERAÇÃO"/>
  </r>
  <r>
    <s v="FB0115773"/>
    <s v="ponto de tomada "/>
    <s v="Resolvido"/>
    <s v="Ponto de tomada para a limpeza dos moinhos durante a preventiva, pois hoje precisa usar extensão, ponto de tomada fica longe e ponto de energia do moinho fica bloqueado no lototo"/>
    <x v="3"/>
    <s v="Pequena mudança local"/>
    <s v="Processo"/>
    <x v="250"/>
    <s v="03. MOAGEM"/>
    <d v="2026-07-07T14:19:50"/>
    <s v="Wallace Pereira"/>
    <s v="APROVADORES DE IDEIAS"/>
    <m/>
    <s v="Resolvido"/>
    <s v="OPERAÇÃO"/>
  </r>
  <r>
    <s v="FB0115840"/>
    <s v="Cilindro pneumatico da Raumak "/>
    <s v="Resolvido"/>
    <s v="O componente pneumatico possui um cabo é um sensor que é ligado no mordente horizontal da Raumak que conforme ele acende ou apaga os mordente horizontal faz o movimento de abrir é fechar, Devido de ter paradas não planejadas é prejudiciar o mtbf e o GE,Minha sugestão é que se possível colocar no CL o posicionamento do sensor para que ao operador conferir no CL é olhar saber se está de acordo com a marcação que devia para ter uma performance perfeita do componente, Se não estiver certo o operador da linha irá saber devido ao CL é terá como evitar que a máquina tenha muitas paradas nao planejadas é será questáo de segundos para saber resolver, Eu Irwin tambem fazer uma Lup para que o proprio operador saiba resolver é como mexer._x000a__x000a_Relton: Ideia será realizada assim que possível "/>
    <x v="23"/>
    <s v="Pequena mudança local"/>
    <s v="Cost (GE, rework)"/>
    <x v="251"/>
    <s v="04. EMPACOTAMENTO"/>
    <d v="2026-07-08T10:24:14"/>
    <s v="Relton Moraes"/>
    <s v="APROVADORES DE IDEIAS"/>
    <m/>
    <s v="Resolvido"/>
    <s v="OPERAÇÃO"/>
  </r>
  <r>
    <s v="FB0115852"/>
    <s v="colocar escada na do CIL "/>
    <s v="Resolvido"/>
    <s v="Acrescentar no relatórios do CIL verificação da escada todo início dos turno "/>
    <x v="2"/>
    <s v="Pequena mudança local"/>
    <s v="Organisation of work"/>
    <x v="252"/>
    <s v="01. TORRADORES"/>
    <d v="2025-11-05T08:48:24"/>
    <s v="Bianca Silva"/>
    <s v="IDEIAS-PROCESSOS"/>
    <m/>
    <s v="Resolvido"/>
    <s v="OPERAÇÃO"/>
  </r>
  <r>
    <s v="FB0115902"/>
    <s v="janelas abertas "/>
    <s v="Cancelado"/>
    <s v="Janelas abertas , tempo de chuva molha o piso e até mesmo o café que se refere no estoque…"/>
    <x v="53"/>
    <s v="Pequena mudança local"/>
    <s v="Organisation of work"/>
    <x v="253"/>
    <s v="08. LOGISTICA"/>
    <d v="2025-10-29T10:40:56"/>
    <m/>
    <s v="IDEIAS-LOGÍSTICA"/>
    <d v="2025-10-29T10:40:56"/>
    <s v="Cancelado"/>
    <s v="OPERAÇÃO"/>
  </r>
  <r>
    <s v="FB0115989"/>
    <s v="Proteção mecânica e/ou sinalização vertical da mesoestrutura"/>
    <s v="Resolvido"/>
    <s v="Fixação de borracha EVA, nas cores preta / amarela, no formato cantoneira, nas quinas da mesoestrutura (pilares centrais e perimetrais) do galpão (café cru), afim de oferecer proteção mecânica e/ou sinalização vertical contra eventuais imperícias na operação da empilhadeira, minimizando e/ou evitando, portanto, sinistros no equipamento e/ou concreto armado._x000a__x000a_SHE: aprovado._x000a__x000a_Jhonnathan Rufini: Qualidade aprovou, contanto que seja monitorado a integridade da borracha."/>
    <x v="66"/>
    <s v="Pequena mudança local"/>
    <s v="Safety - Health"/>
    <x v="254"/>
    <s v="01. CAFÉ CRU"/>
    <d v="2026-01-19T09:17:37"/>
    <s v="Jhonnathan Pereira"/>
    <s v="IDEIAS-CAFÉ CRÚ"/>
    <m/>
    <s v="Resolvido"/>
    <s v="OPERAÇÃO"/>
  </r>
  <r>
    <s v="FB0116120"/>
    <s v="ideia de melhoria no torrador 2"/>
    <s v="Resolvido"/>
    <s v=" A ideia e implementar uma porta de acesso para inspeção e limpeza após lavagem das câmaras de torra,no torrador 2 do mesmo modo que já existe no torrador 1_x000a__x000a_Pedro Ferreira: Ideia aprovada pela Engenharia, foi discutida que é possível que a manutenção execute, visto que o Lucas Carvalho que realizou na linha modelo."/>
    <x v="64"/>
    <s v="Pequena mudança local"/>
    <s v="Processo"/>
    <x v="255"/>
    <s v="02. TORREFAÇÃO"/>
    <d v="2026-05-19T09:06:17"/>
    <s v="Ana Martins"/>
    <s v="IDEIAS-PROCESSOS"/>
    <m/>
    <s v="Resolvido"/>
    <s v="OPERAÇÃO"/>
  </r>
  <r>
    <s v="FB0116136"/>
    <s v="troca a fechadura da porta na sala da moagem "/>
    <s v="Cancelado"/>
    <s v="A ideia é armazenar os material da moagem tudo nesse armário todo tipo de chave e utensílios _x000a_Arrumar uma chave para cada op ter o controle do utensílio e ferramentas, tendo uma chave reserva no adm da produção _x000a_Nele podemos deixar até as chaves que tem no armário da moagem, colocarmos uns tapetes para moldarmos onde vai ficar cada chave _x000a_E os utensílios "/>
    <x v="28"/>
    <s v="Pequena mudança local"/>
    <s v="Organisation of work"/>
    <x v="256"/>
    <s v="03. MOAGEM"/>
    <d v="2025-09-08T11:21:52"/>
    <m/>
    <s v="IDEIAS-PROCESSOS"/>
    <d v="2025-09-08T11:21:52"/>
    <s v="Cancelado"/>
    <s v="OPERAÇÃO"/>
  </r>
  <r>
    <s v="FB0116175"/>
    <s v="Alteração CIL SEMANAL "/>
    <s v="Fechado"/>
    <s v="Alteração na limpeza dos ciclones,não consegui utilizar o varre mesa por alta temperatura,avaliar uso de ar comprimido _x000a_Limpeza dos despredador não utiliza pano úmido _x000a_Carrinho inox,avaliar a limpeza para o CIL MENSAL,realizando uma limpeza detalhada interna e externa _x000a_Avaliar limpeza do mezanino,se possível conseguir um aspirador de pó menor pra facilitar o acesso do mesmo_x000a_Alterar a descrição da limpeza dos coletores de rejeito dos Cablevey _x000a_Aspirador de pó,temos apenas aspirador de água,alterar descrição _x000a_Retirar espátula da descrição dos itens do supervisorio _x000a_Item da LUP 07-13312 não existe descrição do item!"/>
    <x v="18"/>
    <s v="Pequena mudança local"/>
    <s v="Cost (GE, rework)"/>
    <x v="257"/>
    <s v="02. TORREFAÇÃO"/>
    <d v="2025-11-05T08:49:52"/>
    <s v="Bianca Silva"/>
    <s v="IDEIAS-PROCESSOS"/>
    <d v="2025-11-05T08:49:52"/>
    <s v="Fechado"/>
    <s v="OPERAÇÃO"/>
  </r>
  <r>
    <s v="FB0116176"/>
    <s v="QUADRO Ferramentas TORRADORES "/>
    <s v="Cancelado"/>
    <s v="Reformular o quadro de ferramentas,operação adquiriu ferramentas,deixar no quadro apenas itens que a operação não possui _x000a__x000a_Pedro Ferreira: Lucas, estamos com uma ideia em aberto para que esse quadro seja destinado somente a Moagem, visto que os operadores dos torradores, já tem as maletas de ferramentas, assim, será realizado uma reformulação nele com as ferramentas que a moagem precisa. "/>
    <x v="18"/>
    <s v="Pequena mudança local"/>
    <s v="Organisation of work"/>
    <x v="258"/>
    <s v="02. TORREFAÇÃO"/>
    <d v="2025-09-05T13:16:16"/>
    <m/>
    <s v="IDEIAS-PROCESSOS"/>
    <d v="2025-09-05T13:16:16"/>
    <s v="Cancelado"/>
    <s v="OPERAÇÃO"/>
  </r>
  <r>
    <s v="FB0116709"/>
    <s v="Aparelho (NÍVEL DE BOLHA) auxiliar na operação da empilhadeira"/>
    <s v="Cancelado"/>
    <s v="Fixar nível de bolha na coluna ou grade da torre da empilhadeira, ao alcance da visão do operador, sem comprometimento mecânico, exclusivamente afim de otimizar a sua operação, com segurança e precisão, agilizando atividades diárias onde precisamos que a coluna do equipamento esteja perfeitamente alinhada, formando um ângulo de 90 graus com o plano do chão "/>
    <x v="66"/>
    <s v="Pequena mudança local"/>
    <s v="Processo"/>
    <x v="259"/>
    <s v="01. CAFÉ CRU"/>
    <d v="2025-10-13T12:58:54"/>
    <m/>
    <s v="IDEIAS-CAFÉ CRÚ"/>
    <d v="2025-10-13T12:58:54"/>
    <s v="Cancelado"/>
    <s v="OPERAÇÃO"/>
  </r>
  <r>
    <s v="FB0116741"/>
    <s v="implantar uma câmera na caçamba de película do torrador 2 "/>
    <s v="Cancelado"/>
    <s v="Nós torradores 1 e3 já existem câmeras que possibilitam o acesso as caçambas faltando apenas no torrador 2._x000a_Se uma caçamba de película enche e o sensor não atuar gera acúmulo de película nas roscas plana e inclinada e em sequência o entupimento do ciclone de torra o qual gera grande impacto na produção,pois é necessário encerrar o torrador para resolver o problema "/>
    <x v="64"/>
    <s v="Pequena mudança local"/>
    <s v="Processo"/>
    <x v="260"/>
    <s v="02. TORREFAÇÃO"/>
    <d v="2025-09-08T11:00:56"/>
    <m/>
    <s v="IDEIAS-PROCESSOS"/>
    <d v="2025-09-08T11:00:56"/>
    <s v="Cancelado"/>
    <s v="OPERAÇÃO"/>
  </r>
  <r>
    <s v="FB0116922"/>
    <s v="na PKD não tem um acessório específico para apertar  as aparas ."/>
    <s v="Resolvido"/>
    <s v="na PKD não tem um acessório específico para apertar  as aparas .esta sendo usado utensílios de limpeza na área para essa finalidade , poderia alinhar com a manutenção para fazer uma chapa arredondada de aço , com um cabo , para ser usada nas aparas ._x000a__x000a_SHE: reprovado. Improvisação de ferramentas. Não há resgistro fotografico da ideia._x000a__x000a_Pedro Ferreira: É necessário verificar qual a ferramenta ideal para essa ação. Porém, precisamos de mais informação. "/>
    <x v="19"/>
    <s v="Pequena mudança local"/>
    <s v="Qualidade"/>
    <x v="261"/>
    <s v="05. LINHA 05"/>
    <d v="2025-10-30T08:53:58"/>
    <s v="Pedro Ferreira"/>
    <s v="APROVADORES DE IDEIAS"/>
    <m/>
    <s v="Resolvido"/>
    <s v="OPERAÇÃO"/>
  </r>
  <r>
    <s v="FB0117028"/>
    <s v="Estação de Limpeza para área das fornalhas"/>
    <s v="Resolvido"/>
    <s v="Sugestão de criação de uma estação de limpeza idem a das fabrimas para a área da fornalha, para melhor controle e monitoramento dos utensílios de limpeza da área, com suporte para Vassouras, Varre mesa, pá e enxada de limpeza interna das fornalhas."/>
    <x v="5"/>
    <s v="Pequena mudança local"/>
    <s v="Organisation of work"/>
    <x v="262"/>
    <s v="02. TORREFAÇÃO"/>
    <d v="2026-09-01T10:43:45"/>
    <s v="Aline Fernandes"/>
    <s v="APROVADORES DE IDEIAS"/>
    <m/>
    <s v="Resolvido"/>
    <s v="OPERAÇÃO"/>
  </r>
  <r>
    <s v="FB0117052"/>
    <s v="Elevador de pequeno porte "/>
    <s v="Cancelado"/>
    <s v="A ideia é colocar um elevador pequeno pra ajudar a subir coisas pesadas até o alto dos silos nos dias de limpeza — tipo aspirador, caixa de ferramenta e os sacos cheios de café que saem das limpezas das peneiras._x000a__x000a_Pedro Ferreira: Ao ponto de vista de qualidade, é possível executar e não vejo risco para a segurança de alimentos, porém, é necessário garantir a limpeza do elevador._x000a__x000a_Pedro Ferreira: Ideia será CANCELADA, devido alto custo do elevador. Porém, em caso de utensílios de limpeza, como vassoura, pá e varre mesa, foi realizado um melhoria de 5S na área dos moinhos. "/>
    <x v="67"/>
    <s v="Grande mudança local"/>
    <s v="Safety - Health"/>
    <x v="263"/>
    <s v="04. EMPACOTAMENTO"/>
    <d v="2025-09-08T10:53:46"/>
    <m/>
    <s v="APROVADORES DE IDEIAS"/>
    <d v="2025-09-08T10:53:46"/>
    <s v="Cancelado"/>
    <s v="OPERAÇÃO"/>
  </r>
  <r>
    <s v="FB0117060"/>
    <s v="Retirada fio de energia do chão "/>
    <s v="Fechado"/>
    <s v="Fio de energia no chão precisa ser retirado.Risco dos associados ao estar fazendo revisão dos  paletes de vácuo risco de tropeçar .Obs: para a eliminação de risco seria passagem aérea da fiação conforme foto e desenho anexado._x000a__x000a_ANA MARTINS: WALLACE VAI ANALISAR UMA FORMA DE TIRAR O FIO DO CHÃO"/>
    <x v="47"/>
    <s v="Pequena mudança local"/>
    <s v="Safety - Health"/>
    <x v="264"/>
    <s v="04. EMPACOTAMENTO"/>
    <d v="2025-10-31T10:03:10"/>
    <s v="Wallace Pereira"/>
    <s v="APROVADORES DE IDEIAS"/>
    <d v="2025-10-31T10:03:10"/>
    <s v="Fechado"/>
    <s v="OPERAÇÃO"/>
  </r>
  <r>
    <s v="FB0117178"/>
    <s v="parâmetros fora do Centerlining "/>
    <s v="Fechado"/>
    <s v="Devido de ter trocado os níquel cromo horizontal e vertical para uma expressura maior, sugiro que pudesse alterar os parâmetros de temperatura da Raumak e futuramente terá que alte as das outras "/>
    <x v="23"/>
    <s v="Pequena mudança local"/>
    <s v="Processo"/>
    <x v="265"/>
    <s v="05. LINHA 05"/>
    <d v="2025-10-30T14:36:56"/>
    <s v="Moises Costa"/>
    <s v="APROVADORES DE IDEIAS"/>
    <d v="2025-10-30T14:36:56"/>
    <s v="Fechado"/>
    <s v="OPERAÇÃO"/>
  </r>
  <r>
    <s v="FB0117228"/>
    <s v="Proposta de Implantação de Área de Lazer para os Associados"/>
    <s v="Cancelado"/>
    <s v="Sugere-se a criação de um espaço de lazer voltado à descontração dos colaboradores, com a instalação de uma mesa de concreto para prática de tênis de mesa na área externa. O objetivo é proporcionar momentos de relaxamento durante os intervalos de almoço e café, contribuindo para o bem-estar e a integração da equipe._x000a__x000a_A localização proposta para essa estrutura é o espaço externo com piso de brita, situado nas proximidades do Galpão 3 e da área de resíduos, aproveitando uma área atualmente ociosa e de fácil acesso."/>
    <x v="68"/>
    <s v="Pequena mudança local"/>
    <s v="Organisation of work"/>
    <x v="266"/>
    <s v="06. ADMINISTRATIVO"/>
    <d v="2025-08-08T13:33:07"/>
    <m/>
    <s v="IDEIAS-ADMINISTRATIVO"/>
    <d v="2025-08-08T13:33:07"/>
    <s v="Cancelado"/>
    <s v="ADM/TÉCNICO/ASSISTENTE/ESTAG."/>
  </r>
  <r>
    <s v="FB0117250"/>
    <s v="Expulsador de pacotes "/>
    <s v="Em andamento"/>
    <s v="O expulsador de pacotes da balança dinâmica da Fabrima 02 não está fixado!_x000a_Sugiro que fixe o objeto, tem momentos que quando vai fazer o cil objeto está mal posicionado _x000a__x000a_ANA MARTINS: ALEXANDRE ASSIS verificou com a operadora, a ideia e fixar a balança no chão no piso, sendo necessário quebrar o piso e fixa - la no chão, sendo assim se torna uma ideia para a Engenharia analisar! "/>
    <x v="23"/>
    <s v="Pequena mudança local"/>
    <s v="Processo"/>
    <x v="267"/>
    <s v="02. LINHA 02"/>
    <d v="2025-11-28T11:27:18"/>
    <s v="Andre Mendes Costa"/>
    <s v="APROVADORES DE IDEIAS"/>
    <m/>
    <s v="Aguardando Aprovação de CAPEX"/>
    <s v="OPERAÇÃO"/>
  </r>
  <r>
    <s v="FB0117253"/>
    <s v="Fardos fica garrando na esteira "/>
    <s v="Resolvido"/>
    <s v="Fardos fica garrando na esteira e ao retirar fica difícil e tem que parar a máquina e ocasionar falhas não planejadas _x000a__x000a_Manutenção: favor verificar para abaixar a esteira "/>
    <x v="23"/>
    <s v="Pequena mudança local"/>
    <s v="Cost (GE, rework)"/>
    <x v="268"/>
    <s v="02. LINHA 02"/>
    <d v="2026-05-05T15:04:19"/>
    <s v="Leandro Freire"/>
    <s v="APROVADORES DE IDEIAS"/>
    <m/>
    <s v="Resolvido"/>
    <s v="OPERAÇÃO"/>
  </r>
  <r>
    <s v="FB0117448"/>
    <s v="Reconhecimento por tempo de empresa"/>
    <s v="Cancelado"/>
    <s v="Reconhecer os funcionários por tempo de empresa, exemplo 1 ano, 3 anos, 5 anos e 10 anos "/>
    <x v="20"/>
    <s v="Pequena mudança local"/>
    <s v="Organisation of work"/>
    <x v="269"/>
    <s v="01. JDE CAFES DO BRASIL UNIDADE PIUMHI"/>
    <d v="2026-01-14T10:42:26"/>
    <m/>
    <s v="IDEIAS-MELHORIA CONTÍNUA"/>
    <d v="2026-01-14T10:42:26"/>
    <s v="Cancelado"/>
    <s v="ADM/TÉCNICO/ASSISTENTE/ESTAG."/>
  </r>
  <r>
    <s v="FB0117449"/>
    <s v="Compilado de produção Mensal"/>
    <s v="Cancelado"/>
    <s v="Enviar no grupo da Fábrica todo final de mês reconhecendo o turno que mais produziu e reconhecer com um coffee especial, janta, entre outros. "/>
    <x v="20"/>
    <s v="Pequena mudança local"/>
    <s v="Organisation of work"/>
    <x v="270"/>
    <s v="01. JDE CAFES DO BRASIL UNIDADE PIUMHI"/>
    <d v="2025-09-23T17:03:57"/>
    <m/>
    <s v="IDEIAS-MELHORIA CONTÍNUA"/>
    <d v="2025-09-23T17:03:57"/>
    <s v="Cancelado"/>
    <s v="ADM/TÉCNICO/ASSISTENTE/ESTAG."/>
  </r>
  <r>
    <s v="FB0117649"/>
    <s v="Área de revisão escura "/>
    <s v="Resolvido"/>
    <s v="Colocar um ou dois refletores na área de revisão de paletes _x000a__x000a_----------------------------------------_x000a__x000a_Pedro Ferreira: Ideia aprovada pela Manutenção._x000a__x000a_Analisar se temos ponto de energia para instalar um refletor no local. (Eliézer)"/>
    <x v="53"/>
    <s v="Pequena mudança local"/>
    <s v="Processo"/>
    <x v="271"/>
    <s v="08. LOGISTICA"/>
    <d v="2025-12-08T03:42:38"/>
    <s v="Ana Martins"/>
    <s v="IDEIAS-LOGÍSTICA"/>
    <m/>
    <s v="Resolvido"/>
    <s v="OPERAÇÃO"/>
  </r>
  <r>
    <s v="FB0117768"/>
    <s v="Adocão de equipamento para combate incêndio em superfícies com poeira"/>
    <s v="Fechado"/>
    <s v="Aquisição de equipamento de pulverização de água para uso no combate a brasas em superfícies com poeira fina. _x000a__x000a_SHE: aprovado"/>
    <x v="69"/>
    <s v="Pequena mudança local"/>
    <s v="Safety - Health"/>
    <x v="272"/>
    <s v="09.19 SALA DE PRODUTOS QUÍMICOS "/>
    <d v="2025-09-10T10:11:32"/>
    <m/>
    <s v="IDEIAS-SHE"/>
    <d v="2025-09-10T10:11:32"/>
    <s v="Fechado"/>
    <s v="ADM/TÉCNICO/ASSISTENTE/ESTAG."/>
  </r>
  <r>
    <s v="FB0117769"/>
    <s v="Novo container para resíduos perigosos"/>
    <s v="Fechado"/>
    <s v="Aquisição de novo container de 1000 litros para armazenamento temporário de resíduos perigosos, devido à insuficiência do recipiente anterior, que rapidamente atingia sua capacidade máxima. Como consequência, os resíduos acabavam sendo armazenados diretamente no chão, comprometendo a segurança e a conformidade ambiental."/>
    <x v="70"/>
    <s v="Pequena mudança local"/>
    <s v="Meio Ambiente"/>
    <x v="273"/>
    <s v="09.19 SALA DE PRODUTOS QUÍMICOS "/>
    <d v="2025-08-14T11:29:45"/>
    <m/>
    <s v="IDEIAS-SHE"/>
    <d v="2025-08-14T11:29:45"/>
    <s v="Fechado"/>
    <s v="ADM/TÉCNICO/ASSISTENTE/ESTAG."/>
  </r>
  <r>
    <s v="FB0117770"/>
    <s v="Instalação de placas de identificação "/>
    <s v="Resolvido"/>
    <s v="Instalação de placas de identificação em cada uma das chaminés/dumpers dos torradores localizados no telhado, visando facilitar a identificação durante inspeções e coletas de análises atmosféricas. Sugestão: uso de placas metálicas com escrita em em relevo, com letras de tamanho ampliado, a fim de garantir a legibilidade mesmo em condições de acúmulo de sujeira._x000a__x000a_SHE: Aprovado."/>
    <x v="70"/>
    <s v="Pequena mudança local"/>
    <s v="Meio Ambiente"/>
    <x v="274"/>
    <s v="09.2. ÁREA DE RESÍDUOS "/>
    <d v="2026-06-30T14:40:52"/>
    <s v="Jhonnathan Pereira"/>
    <s v="APROVADORES DE IDEIAS"/>
    <m/>
    <s v="Resolvido"/>
    <s v="ADM/TÉCNICO/ASSISTENTE/ESTAG."/>
  </r>
  <r>
    <s v="FB0117771"/>
    <s v="mudança do fio da seladora de borracheiro "/>
    <s v="Cancelado"/>
    <s v="O fio da seladora está solto no chão causando alguns tropeços qdo é feito o borracheiro .. a ideia era fazer uma adaptação de modo que o fio passe por cima da seladora "/>
    <x v="22"/>
    <s v="Pequena mudança local"/>
    <s v="Processo"/>
    <x v="275"/>
    <s v="01. LINHA 01"/>
    <d v="2025-08-18T10:29:05"/>
    <m/>
    <s v="IDEIAS-VACUO"/>
    <d v="2025-08-18T10:29:05"/>
    <s v="Cancelado"/>
    <s v="OPERAÇÃO"/>
  </r>
  <r>
    <s v="FB0117874"/>
    <s v="suporte para equipamentos café cru"/>
    <s v="Fechado"/>
    <s v="Suporte para equipamentos para café cru(vassoura,rodo,bastão), para melhorar organização da área."/>
    <x v="10"/>
    <s v="Pequena mudança local"/>
    <s v="Organisation of work"/>
    <x v="276"/>
    <s v="01. CAFÉ CRU"/>
    <d v="2026-02-18T10:34:17"/>
    <s v="Talita Campos"/>
    <s v="IDEIAS-CAFÉ CRÚ"/>
    <d v="2026-02-18T10:34:17"/>
    <s v="Fechado"/>
    <s v="OPERAÇÃO"/>
  </r>
  <r>
    <s v="FB0118284"/>
    <s v="estação de carregamento de iPad na linha"/>
    <s v="Fechado"/>
    <s v="Criar ponto para carregar os iPads nas linhas de empacotamento._x000a__x000a_"/>
    <x v="17"/>
    <s v="Pequena mudança local"/>
    <s v="Organisation of work"/>
    <x v="277"/>
    <s v="04. EMPACOTAMENTO"/>
    <d v="2025-09-09T11:18:17"/>
    <s v="Relton Moraes"/>
    <s v="APROVADORES DE IDEIAS"/>
    <d v="2025-09-09T11:18:17"/>
    <s v="Fechado"/>
    <s v="ADM/TÉCNICO/ASSISTENTE/ESTAG."/>
  </r>
  <r>
    <s v="FB0118295"/>
    <s v="os pontos de centerling acima não  constam no sistema Dmoss "/>
    <s v="Resolvido"/>
    <s v=" Adicionar no CL ,esses  pontos não constam no sistema Controlador de fluxo cablevey 2.3 e 2.4 ,_x000a_Fotos acima "/>
    <x v="64"/>
    <s v="Pequena mudança local"/>
    <s v="Cost (GE, rework)"/>
    <x v="278"/>
    <s v="02. TORREFAÇÃO"/>
    <d v="2026-07-10T11:31:31"/>
    <s v="Izabela Pugliesi"/>
    <s v="APROVADORES DE IDEIAS"/>
    <m/>
    <s v="Resolvido"/>
    <s v="OPERAÇÃO"/>
  </r>
  <r>
    <s v="FB0118445"/>
    <s v="Automatização"/>
    <s v="Em andamento"/>
    <s v="Automatização das esteiras para o robô, necessário colocar sensores de presença para que encaixotadora não mande caixas._x000a__x000a_ANA MARTINS: FOI VERIFICADO COM A MANUTENÇÃO SERÁ FEITO UMA AVALIAÇÃO PARA POSSIVEL IMPLEMENTAÇÃO."/>
    <x v="33"/>
    <s v="Pequena mudança local"/>
    <s v="Processo"/>
    <x v="279"/>
    <s v="01. LINHA 01"/>
    <d v="2025-09-08T10:47:29"/>
    <s v="Henrique Cardoso"/>
    <s v="IDEIAS-VACUO"/>
    <m/>
    <s v="Aguardando Execução "/>
    <s v="OPERAÇÃO"/>
  </r>
  <r>
    <s v="FB0118547"/>
    <s v="Pintura com métrica"/>
    <s v="Em andamento"/>
    <s v="Realizar uma pintura no chão, próximo ao portão de entrada da guarita, para que as meninas consigam identificar com facilidade a medida das carretas. Precisamos identificar se elas são menores que 12,5m ou maior que 13,5m. Time de almoxarifado fica disponível para auxiliar o pintor, em qual a melhor forma para ser feito essa pintura. "/>
    <x v="44"/>
    <s v="Pequena mudança local"/>
    <s v="Organisation of work"/>
    <x v="280"/>
    <s v="09.4 ÁREA EXTERNA"/>
    <d v="2025-10-09T13:49:12"/>
    <s v="Aline Fernandes"/>
    <s v="IDEIAS-ADMINISTRATIVO"/>
    <m/>
    <s v="Aguardando Execução "/>
    <s v="ADM/TÉCNICO/ASSISTENTE/ESTAG."/>
  </r>
  <r>
    <s v="FB0118548"/>
    <s v="CAIXINHA PARA TOUCAS"/>
    <s v="Fechado"/>
    <s v="Instalar uma caixinha porta toucas, próximo a porta de acesso ao almoxarifado, o time de qualidade exigiu que só podemos acessar a área utilizando touca. "/>
    <x v="44"/>
    <s v="Pequena mudança local"/>
    <s v="Organisation of work"/>
    <x v="281"/>
    <s v="09.6 BARREIRA SANITÁRIA"/>
    <d v="2026-06-18T10:06:18"/>
    <s v="Aline Fernandes"/>
    <s v="IDEIAS-QUALIDADE"/>
    <d v="2026-06-18T10:06:18"/>
    <s v="Fechado"/>
    <s v="ADM/TÉCNICO/ASSISTENTE/ESTAG."/>
  </r>
  <r>
    <s v="FB0118549"/>
    <s v="MOLHOS DE SALADA"/>
    <s v="Fechado"/>
    <s v="Se possível, incluir molhos para salada ou limão já cortado, para que possamos temperar as saladas. "/>
    <x v="44"/>
    <s v="Pequena mudança local"/>
    <s v="Organisation of work"/>
    <x v="282"/>
    <s v="09.17 REFEITÓRIO"/>
    <d v="2025-09-08T12:59:22"/>
    <m/>
    <s v="IDEIAS-ADMINISTRATIVO"/>
    <d v="2025-09-08T12:59:22"/>
    <s v="Fechado"/>
    <s v="ADM/TÉCNICO/ASSISTENTE/ESTAG."/>
  </r>
  <r>
    <s v="FB0118568"/>
    <s v="Bandeja da Raumak 2"/>
    <s v="Em andamento"/>
    <s v="A bandeja de contenção da Raumak 2 ao trocar a bobina da Raumak ela acaba atrapalhando um pouco por ser grande é ao tentar manusear o carrinho da bobina atrapalha um pouco, sugiro que cortasse e facilitaria ao manusear o carrinho na troca de bobina _x000a__x000a_-----------------------------------_x000a_Pedro Ferreira: Ideia será avaliada com a Manutenção, se é possível que eles realizem essa ideia. _x000a_Pedro Ferreira (09/10): Orçar com o Paulinho"/>
    <x v="23"/>
    <s v="Pequena mudança local"/>
    <s v="Cost (GE, rework)"/>
    <x v="283"/>
    <s v="02. LINHA 02"/>
    <d v="2026-09-17T14:24:43"/>
    <s v="Ana Martins"/>
    <s v="APROVADORES DE IDEIAS"/>
    <m/>
    <s v="Aguardando Orçamento"/>
    <s v="OPERAÇÃO"/>
  </r>
  <r>
    <s v="FB0118744"/>
    <s v="ARMÁRIO PARA ARMAZENAR MATERIAIS DE TREINAMENTO"/>
    <s v="Fechado"/>
    <s v="Precisamos de um local/armário específico para armazenar os materiais de treinamento, que vão sendo elaborados e podem ser reutilizados em outros momentos. _x000a__x000a_Sugestão: talvez utilizar o armário que fica na sala Piumhi, se não estiver ocupado com outra coisa. _x000a__x000a_RETORNO 1 23/09/2025: ótima sugestão Aline, de fato precisamos. O armário da sala piumhi é uma alternativa, vou verificar se está ocupado, ou os armários do MOS Academy caso não seja possível, tão logo quanto tivermos verbas, podemos ver outras opções."/>
    <x v="44"/>
    <s v="Pequena mudança local"/>
    <s v="Organisation of work"/>
    <x v="284"/>
    <s v="06. ADMINISTRATIVO"/>
    <d v="2026-08-12T09:05:56"/>
    <s v="Luzia Rodrigues"/>
    <s v="APROVADORES DE IDEIAS"/>
    <d v="2026-08-12T09:05:56"/>
    <s v="Fechado"/>
    <s v="ADM/TÉCNICO/ASSISTENTE/ESTAG."/>
  </r>
  <r>
    <s v="FB0119776"/>
    <s v="AQUISIÇÃO DE ESCADA "/>
    <s v="Cancelado"/>
    <s v="Desenvolver uma escada tipo de piscina, para que os meninos do café verde, possam entrar e sair da carreta com mais facilidade._x000a__x000a_Uma escada que seja fácil de encaixar e desencaixar da tampa da carreta. _x000a__x000a_Pedro Ferreira: Essa ideia já foi discutida, porém, o orçamento dessa escada é muito alto, considerando que seria um teste, segundo SHE. Dessa forma, a ideia será cancelada por duplicação, mas é uma excelente ideia, vamos buscar a melhor solução, qualquer dúvida, podemos discutir com time de SHE sobre. "/>
    <x v="44"/>
    <s v="Pequena mudança local"/>
    <s v="Safety - Health"/>
    <x v="285"/>
    <s v="01. JDE CAFES DO BRASIL UNIDADE PIUMHI"/>
    <d v="2025-09-08T11:14:19"/>
    <m/>
    <s v="IDEIAS-MELHORIA CONTÍNUA"/>
    <d v="2025-09-08T11:14:19"/>
    <s v="Cancelado"/>
    <s v="ADM/TÉCNICO/ASSISTENTE/ESTAG."/>
  </r>
  <r>
    <s v="FB0119798"/>
    <s v="correias das Raumak  e fabrimas "/>
    <s v="Resolvido"/>
    <s v="Colocar um sensores para q possa abrir as correias automaticamente ao abriras portas  igual a da fabrima 2_x000a__x000a_ANA MARTINS: FOI A VALIADO PELA MANUTENÇÃO, SERÁ FEITO UMA VERIFICAÇÃO SE É POSSIVEL ESSA IMPLEMENTAÇÃO!"/>
    <x v="63"/>
    <s v="Pequena mudança local"/>
    <s v="Processo"/>
    <x v="286"/>
    <s v="05. LINHA 05"/>
    <d v="2026-09-11T14:04:29"/>
    <s v="Ana Martins"/>
    <s v="APROVADORES DE IDEIAS"/>
    <m/>
    <s v="Resolvido"/>
    <s v="OPERAÇÃO"/>
  </r>
  <r>
    <s v="FB0119872"/>
    <s v="Armário para a guarda das malas de Ferramentas "/>
    <s v="Em andamento"/>
    <s v="Utilizar a mesa que fica a lavadora ultrassônica para criar um armário para a guarda das malas de ferramentas dos operadores  com a da imagem,_x000a_Realizar a colocação de chapas nas laterais e três divisões internas sendo uma para cada turno e portas na frente com suporte de cadeado para tranca das mesma_x000a__x000a_------------------------------------------_x000a__x000a_Pedro Ferreira: Ideia deve passar pela manufatura para decidir se podemos realizar a adaptação do armário na mesa, ou compramos outro armário, se for assim, deve definir o local do mesmo. _x000a__x000a_Pedro Ferreira: Aguardando escolha do armário, para que posteriormente, o orçamento seja solicitado. "/>
    <x v="1"/>
    <s v="Pequena mudança local"/>
    <s v="Organisation of work"/>
    <x v="287"/>
    <s v="01. LINHA 01"/>
    <d v="2025-09-12T09:53:24"/>
    <s v="Pedro Ferreira"/>
    <s v="IDEIAS-VACUO"/>
    <m/>
    <s v="Aguardando Orçamento"/>
    <s v="OPERAÇÃO"/>
  </r>
  <r>
    <s v="FB0119931"/>
    <s v="Adicionar o ponto &quot;Aquario&quot; no CIL da PKD"/>
    <s v="Fechado"/>
    <s v="Adicionar o ponto do aquário do borracheiro no CIL da PKD para realizar limpezas frequentes, visto que muitas vezes o mesmo passa vários dias sujo. _x000a__x000a_(IDEIA JÁ REALIZADA)!!! "/>
    <x v="20"/>
    <s v="Pequena mudança local"/>
    <s v="Qualidade"/>
    <x v="288"/>
    <s v="01. JDE CAFES DO BRASIL UNIDADE PIUMHI"/>
    <d v="2025-09-17T09:05:53"/>
    <s v="Bianca Silva"/>
    <s v="IDEIAS-MELHORIA CONTÍNUA"/>
    <d v="2025-09-17T09:05:53"/>
    <s v="Fechado"/>
    <s v="ADM/TÉCNICO/ASSISTENTE/ESTAG."/>
  </r>
  <r>
    <s v="FB0119993"/>
    <s v="caixinha de musica"/>
    <s v="Cancelado"/>
    <s v="Instalar  Caixas de som com celular, e Bluetooth nas linhas de fabrima.        Pontos que poderiam ser instaladas as caixinhas que a acredito não gerar impacto é nem contaminação do produto. ( podendo colocar como ponto de inspeção no nosso CIL diario como ponto de qualidade)   (OBS: ideia em conjunto Raniele ,Alex , Rafael )_x000a__x000a__x000a_09/09: Solicitado aprovação das demais áreas_x000a__x000a_"/>
    <x v="22"/>
    <s v="Pequena mudança local"/>
    <s v="Organisation of work"/>
    <x v="289"/>
    <s v="04. LINHA 04"/>
    <d v="2025-09-25T15:34:19"/>
    <m/>
    <s v="APROVADORES DE IDEIAS"/>
    <d v="2025-09-25T15:34:19"/>
    <s v="Cancelado"/>
    <s v="OPERAÇÃO"/>
  </r>
  <r>
    <s v="FB0120217"/>
    <s v="rádio de comunicação "/>
    <s v="Em andamento"/>
    <s v="Colocar fixo nas linhas rádio de comunicação com os carregadores para chamar a manutenção, como foi implementado os tablets, que facilitou a demanda das linhas._x000a_Poderia ficar um rádio para as linhas 4 e 5, um para a 2 e 3 e um na PKD._x000a__x000a_25/09: inicialmente estamos verificando para deixar um rádio na PKD e um na Fab 4 e 5 "/>
    <x v="22"/>
    <s v="Pequena mudança local"/>
    <s v="Organisation of work"/>
    <x v="290"/>
    <s v="04. LINHA 04"/>
    <d v="2026-09-11T14:18:14"/>
    <s v="Jhonnathan Pereira"/>
    <s v="APROVADORES DE IDEIAS"/>
    <m/>
    <s v="Aguardando Orçamento"/>
    <s v="OPERAÇÃO"/>
  </r>
  <r>
    <s v="FB0120305"/>
    <s v="Escada na area externa da logística"/>
    <s v="Cancelado"/>
    <s v="Instalar uma escada na área destinada aos caminhões para permitir o acesso seguro dos pedestres, ajustando o trajeto de circulação para eliminar riscos de atropelamento."/>
    <x v="68"/>
    <s v="Pequena mudança local"/>
    <s v="Safety - Health"/>
    <x v="291"/>
    <s v="01. DOCAS"/>
    <d v="2025-12-04T13:00:48"/>
    <m/>
    <s v="IDEIAS-LOGÍSTICA"/>
    <d v="2025-12-04T13:00:48"/>
    <s v="Cancelado"/>
    <s v="ADM/TÉCNICO/ASSISTENTE/ESTAG."/>
  </r>
  <r>
    <s v="FB0120332"/>
    <s v="Troca de nylon do eixo da bobina da PKD"/>
    <s v="Fechado"/>
    <s v="Nos últimos dias, foi verificado que um dos eixo (antigo), não estava encaixando corretamente no sistema de freio, assim, foi possível observar que o nylon do mesmo estava desgastado em relação ao eixo novo, dessa forma, a troca do nylon pode auxiliar nessa questão. Além disso, realizar um filete na ponta da peça, também seria algo que poderia ajudar. "/>
    <x v="46"/>
    <s v="Pequena mudança local"/>
    <s v="Cost (GE, rework)"/>
    <x v="292"/>
    <s v="01. JDE CAFES DO BRASIL UNIDADE PIUMHI"/>
    <d v="2025-09-09T13:42:55"/>
    <s v="Pedro Ferreira"/>
    <s v="IDEIAS-MELHORIA CONTÍNUA"/>
    <d v="2025-09-09T13:42:55"/>
    <s v="Fechado"/>
    <s v="ADM/TÉCNICO/ASSISTENTE/ESTAG."/>
  </r>
  <r>
    <s v="FB0120790"/>
    <s v="Teto PKD Roda De Espigões/Mandris "/>
    <s v="Em andamento"/>
    <s v="Realizar a troca dos acrílicos do teto da roda de espigões por grelhas com exemplo a foto da roda de vácuo._x000a_Ideia discutida com o Manutentor Alexandre Oliveira e tivemos aprovação do mesmo._x000a_Foi também discutida com o Time de Qualidade Ruth e Angelina e tivemos a aprovação com seguintes a apresentação do material a ser utilizado com espessura e diâmetro da grelha afim de evitar a entrada de insetos e aí mesmo cair objetos em possíveis manutenção._x000a_OBS detalhes da ideia e a utilização de grelha metálica  com dimensões pequenas caso não tenha vai ser utilizado uma grelha convencional com tela de mosquiteiro de alumínio para diminuir o tamanho dos furos da grelha ._x000a_OBJETIVO DA IDEIA E GARANTIR MAIOR REFRIGERAÇÃO DA RODA DE MANDRIS PARA EVITAR PROBLEMAS DE SUPRE AQUECIMENTO DOS MANDRIS E A NÃO SAÍDA DA EMBALAGEM DOS MESMOS OCORRENDO PARA DE MÁQUINA _x000a__x000a_Pessoal, sobre esta ideia, mesmo com as áreas que foram aprovados tem o projeto PIX que tivemos investimento para funcionamento de ar condicionado, se trabalharmos com grades, temos que desablitar os ar condicionados pois eles não farão mais a função de refrigerar visto que ficaremos com a área aberta de ventilação. (Eliézer)_x000a__x000a_Manufatura: pessoal, esta ideia ainda se mantém com a instalação do ar que foi recolocado na roda de mandril ?_x000a_Entendo também assim com o Eliezer de que não tem como executar esta ideia com o ar condicionado lá na roda de mandril, temos que optar por um dos dois._x000a__x000a_Responsáveis:Patrick Pessoa.  Alexandre"/>
    <x v="1"/>
    <s v="Pequena mudança local"/>
    <s v="Processo"/>
    <x v="293"/>
    <s v="01. LINHA 01"/>
    <d v="2025-12-15T15:41:49"/>
    <m/>
    <s v="IDEIAS-VACUO"/>
    <m/>
    <s v="Aguardando Execução "/>
    <s v="OPERAÇÃO"/>
  </r>
  <r>
    <s v="FB0120971"/>
    <s v="Substituir os parafusos de fixação allen por parafuso borboleta PKD"/>
    <s v="Resolvido"/>
    <s v="Substituir os parafusos de fixação Allen por parafuso borboleta pois quando e necessário ajusta a fotocélula tem que retirar esses parafuso ajustar e colocar novamente_x000a_Colocando os parafusos borboleta facilita essa retirada pois não ira precisar de chave."/>
    <x v="31"/>
    <s v="Pequena mudança local"/>
    <s v="Cost (GE, rework)"/>
    <x v="294"/>
    <s v="04. EMPACOTAMENTO"/>
    <d v="2026-07-03T10:57:44"/>
    <m/>
    <s v="APROVADORES DE IDEIAS"/>
    <m/>
    <s v="Resolvido"/>
    <s v="ADM/TÉCNICO/ASSISTENTE/ESTAG."/>
  </r>
  <r>
    <s v="FB0120974"/>
    <s v="Colocar um vacuômetro na saída das bombas de Vacuo de palhetas PKD"/>
    <s v="Em andamento"/>
    <s v="Colocar um vacuômetro na saída das bombas de Vácuo de palhetas da PKD para podermos visualizar qual o vácuo gerado pela bomba_x000a__x000a_Arthur participou da ideia  _x000a__x000a_-----------------------------_x000a_Pedro Ferreira: Analisar com Arthur se é possível a realização da ideia, para isso, Leandro deve programar um tempo, para que o Arthur vá até la. Tentar fazer semelhante ao da correia de arraste. "/>
    <x v="31"/>
    <s v="Pequena mudança local"/>
    <s v="Cost (GE, rework)"/>
    <x v="295"/>
    <s v="01. LINHA 01"/>
    <d v="2026-08-10T14:05:36"/>
    <s v="Anderson Santana"/>
    <s v="APROVADORES DE IDEIAS"/>
    <m/>
    <s v="Aguardando Execução "/>
    <s v="ADM/TÉCNICO/ASSISTENTE/ESTAG."/>
  </r>
  <r>
    <s v="FB0121030"/>
    <s v="Alteração no CIL da PKD (ideia já executada)"/>
    <s v="Fechado"/>
    <s v="Ao inves das LUP de CIL da PKD colocar a IT - Para os pontos Q's de peças críticas "/>
    <x v="20"/>
    <s v="Pequena mudança local"/>
    <s v="Qualidade"/>
    <x v="296"/>
    <s v="01. LINHA 01"/>
    <d v="2025-09-17T09:33:27"/>
    <m/>
    <s v="IDEIAS-VACUO"/>
    <d v="2025-09-17T09:33:27"/>
    <s v="Fechado"/>
    <s v="ADM/TÉCNICO/ASSISTENTE/ESTAG."/>
  </r>
  <r>
    <s v="FB0121056"/>
    <s v="Mudança no CIL Mensal dos torradores (Ideia já realizada) "/>
    <s v="Fechado"/>
    <s v="Colocar nome no item da LUP 07-13.312 (peças criticas) "/>
    <x v="20"/>
    <s v="Pequena mudança local"/>
    <s v="Qualidade"/>
    <x v="297"/>
    <s v="02. TORREFAÇÃO"/>
    <d v="2025-09-17T09:34:02"/>
    <m/>
    <s v="IDEIAS-PROCESSOS"/>
    <d v="2025-09-17T09:34:02"/>
    <s v="Fechado"/>
    <s v="ADM/TÉCNICO/ASSISTENTE/ESTAG."/>
  </r>
  <r>
    <s v="FB0121151"/>
    <s v="Inspeção no torrador 3 após Modo de emergência "/>
    <s v="Em andamento"/>
    <s v="Realizar inspeção no torrador 3 na parte do esfriador do peneirão após ativação Modo de segurança._x000a_A ideia é toda vez que estabilizar o torrador 3, realizar inspeção no esfriador, pois há vários registro que algumas ocorrências geram fagulha nessa área, pois dentro do esfriador contém películas armazenadas pelo processo de resfriamento do café e com contato de brasas geram registro de princípio de incêndio. E para não gerar essas ocorrências a ideia é toda vez que finalizar Modo de segurança realizar uma inspeção antes de qualquer partida._x000a__x000a_SHE: aprovado. "/>
    <x v="29"/>
    <s v="Pequena mudança local"/>
    <s v="Safety - Health"/>
    <x v="298"/>
    <s v="02. TORREFAÇÃO"/>
    <d v="2026-08-17T09:05:22"/>
    <s v="Flavia Silveira"/>
    <s v="APROVADORES DE IDEIAS"/>
    <m/>
    <s v="Aguardando Execução "/>
    <s v="OPERAÇÃO"/>
  </r>
  <r>
    <s v="FB0121407"/>
    <s v="instalação de caixa para carregador "/>
    <s v="Resolvido"/>
    <s v="instalação de caixa para o carregador das tablets que os operadores na área da moagem e dos torradores utiliza diariamente "/>
    <x v="22"/>
    <s v="Pequena mudança local"/>
    <s v="Organisation of work"/>
    <x v="299"/>
    <s v="03. MOAGEM"/>
    <d v="2025-10-20T09:23:34"/>
    <s v="Leandro Freire"/>
    <s v="IDEIAS-PROCESSOS"/>
    <m/>
    <s v="Resolvido"/>
    <s v="OPERAÇÃO"/>
  </r>
  <r>
    <s v="FB0121420"/>
    <s v="Atualização do Documento PLA-03-118-Faixa de umidade torradores "/>
    <s v="Fechado"/>
    <s v="O documento PLA-03-118, que define as faixas de umidade para o controle de qualidade, está desatualizado. As faixas utilizadas atualmente foram alteradas, mas o documento ainda não foi revisado._x000a_Sugestão:_x000a_Atualizar o documento com as faixas de umidade vigentes, garantindo alinhamento entre prática e documentação._x000a_Benefícios:_x000a_Evita não conformidades;_x000a_Facilita o trabalho das equipes;_x000a_Garante a padronização e confiabilidade dos processos."/>
    <x v="29"/>
    <s v="Pequena mudança local"/>
    <s v="Qualidade"/>
    <x v="300"/>
    <s v="02. TORREFAÇÃO"/>
    <d v="2025-10-15T14:03:42"/>
    <s v="Tais Costa"/>
    <s v="IDEIAS-PROCESSOS"/>
    <d v="2025-10-15T14:03:42"/>
    <s v="Fechado"/>
    <s v="OPERAÇÃO"/>
  </r>
  <r>
    <s v="FB0121423"/>
    <s v="Incluir Limpeza na parte superior do tanque água torrador 01"/>
    <s v="Fechado"/>
    <s v="Na parte superior do tanque de água do torrador 01 não existe mapeamento no CIL para realizar limpezas seja diária, semanal ou mensal._x000a_A ideia é incluir nas rotinas mensais do CIL por ser devido trabalho em altura "/>
    <x v="29"/>
    <s v="Pequena mudança local"/>
    <s v="Cost (GE, rework)"/>
    <x v="301"/>
    <s v="02. TORREFAÇÃO"/>
    <d v="2025-11-05T08:49:32"/>
    <s v="Bianca Silva"/>
    <s v="IDEIAS-PROCESSOS"/>
    <d v="2025-11-05T08:49:32"/>
    <s v="Fechado"/>
    <s v="OPERAÇÃO"/>
  </r>
  <r>
    <s v="FB0121542"/>
    <s v="MUDAR BALANÇA DE LOCAL"/>
    <s v="Cancelado"/>
    <s v="Retirar a balança que fica no café verde e colocar no cavaco, ela é usada para pesar as peneiras de análise daas cargas de cavaco, raramente é utilizada pelo time de café verde. "/>
    <x v="44"/>
    <s v="Pequena mudança local"/>
    <s v="Organisation of work"/>
    <x v="302"/>
    <s v="01. JDE CAFES DO BRASIL UNIDADE PIUMHI"/>
    <d v="2025-09-29T09:33:14"/>
    <m/>
    <s v="IDEIAS-MELHORIA CONTÍNUA"/>
    <d v="2025-09-29T09:33:14"/>
    <s v="Cancelado"/>
    <s v="ADM/TÉCNICO/ASSISTENTE/ESTAG."/>
  </r>
  <r>
    <s v="FB0121543"/>
    <s v="INSTALAR GANCHOS PARA CABOS BRASMO"/>
    <s v="Fechado"/>
    <s v="Instalar ganchos para pendurar os cabos da Brasmo e ficar mais organizado e acessível o estoque ._x000a__x000a_-----------------------_x000a_Pedro Ferreira: Aline, preciso de mais informações, do tipo de gancho e local, se puder adicionar fotos, iria ajudar."/>
    <x v="44"/>
    <s v="Pequena mudança local"/>
    <s v="Organisation of work"/>
    <x v="303"/>
    <s v="06. ADMINISTRATIVO"/>
    <d v="2025-10-31T14:11:13"/>
    <s v="Aline Fernandes"/>
    <s v="IDEIAS-ADMINISTRATIVO"/>
    <d v="2025-10-31T14:11:13"/>
    <s v="Fechado"/>
    <s v="ADM/TÉCNICO/ASSISTENTE/ESTAG."/>
  </r>
  <r>
    <s v="FB0121596"/>
    <s v="Alteração no CIL da PKD (ideia já executada)"/>
    <s v="Fechado"/>
    <s v="Colocar os utensilios Varremesa e aspirador de Pó na atividade de Ejetor de pacotes defeituosos "/>
    <x v="20"/>
    <s v="Pequena mudança local"/>
    <s v="Processo"/>
    <x v="304"/>
    <s v="01. LINHA 01"/>
    <d v="2025-09-22T13:11:00"/>
    <m/>
    <s v="IDEIAS-VACUO"/>
    <d v="2025-09-22T13:11:00"/>
    <s v="Fechado"/>
    <s v="ADM/TÉCNICO/ASSISTENTE/ESTAG."/>
  </r>
  <r>
    <s v="FB0121598"/>
    <s v="Alteração no CIL da PKD (ideia já executada)"/>
    <s v="Fechado"/>
    <s v="Colocar o item &quot;Dosadores&quot; no CIL da PKD. "/>
    <x v="20"/>
    <s v="Pequena mudança local"/>
    <s v="Qualidade"/>
    <x v="305"/>
    <s v="01. LINHA 01"/>
    <d v="2025-09-22T13:13:59"/>
    <m/>
    <s v="IDEIAS-VACUO"/>
    <d v="2025-09-22T13:13:59"/>
    <s v="Fechado"/>
    <s v="ADM/TÉCNICO/ASSISTENTE/ESTAG."/>
  </r>
  <r>
    <s v="FB0121599"/>
    <s v="Alteração no CIL da PKD (ideia já executada)"/>
    <s v="Fechado"/>
    <s v="Adicionar o ponto &quot;Calha dos dosadores&quot; no CIL da PKD "/>
    <x v="20"/>
    <s v="Pequena mudança local"/>
    <s v="Qualidade"/>
    <x v="306"/>
    <s v="01. LINHA 01"/>
    <d v="2025-09-22T13:13:45"/>
    <m/>
    <s v="IDEIAS-VACUO"/>
    <d v="2025-09-22T13:13:45"/>
    <s v="Fechado"/>
    <s v="ADM/TÉCNICO/ASSISTENTE/ESTAG."/>
  </r>
  <r>
    <s v="FB0121600"/>
    <s v="Alteração no CIL da PKD (ideia já executada)"/>
    <s v="Fechado"/>
    <s v="Adicionar o Item &quot;Chão no fim dos receptáculos&quot; "/>
    <x v="20"/>
    <s v="Pequena mudança local"/>
    <s v="Qualidade"/>
    <x v="307"/>
    <s v="01. LINHA 01"/>
    <d v="2025-09-22T13:14:13"/>
    <m/>
    <s v="IDEIAS-VACUO"/>
    <d v="2025-09-22T13:14:13"/>
    <s v="Fechado"/>
    <s v="ADM/TÉCNICO/ASSISTENTE/ESTAG."/>
  </r>
  <r>
    <s v="FB0121601"/>
    <s v="Alteração no CIL da PKD (ideia já executada)"/>
    <s v="Fechado"/>
    <s v="Adicionar o ponto &quot;Chão no fim dos receptáculos&quot; no CIL "/>
    <x v="20"/>
    <s v="Pequena mudança local"/>
    <s v="Qualidade"/>
    <x v="308"/>
    <s v="01. LINHA 01"/>
    <d v="2025-09-22T13:14:27"/>
    <m/>
    <s v="IDEIAS-VACUO"/>
    <d v="2025-09-22T13:14:27"/>
    <s v="Fechado"/>
    <s v="ADM/TÉCNICO/ASSISTENTE/ESTAG."/>
  </r>
  <r>
    <s v="FB0121602"/>
    <s v="Alteração no CIL da PKD (ideia já executada)"/>
    <s v="Fechado"/>
    <s v="Adicionar o ponto &quot;Caixa coletora de café 1,2,3 e 4&quot; no CIL "/>
    <x v="20"/>
    <s v="Pequena mudança local"/>
    <s v="Qualidade"/>
    <x v="309"/>
    <s v="01. LINHA 01"/>
    <d v="2025-09-22T13:13:31"/>
    <m/>
    <s v="IDEIAS-VACUO"/>
    <d v="2025-09-22T13:13:31"/>
    <s v="Fechado"/>
    <s v="ADM/TÉCNICO/ASSISTENTE/ESTAG."/>
  </r>
  <r>
    <s v="FB0121603"/>
    <s v="Alteração no CIL da PKD (ideia já executada)"/>
    <s v="Fechado"/>
    <s v="Alterar o nome da atividade de &quot;Sujidade de embalagem&quot; para &quot;Mesa da roda de vácuo&quot; "/>
    <x v="20"/>
    <s v="Pequena mudança local"/>
    <s v="Qualidade"/>
    <x v="310"/>
    <s v="01. LINHA 01"/>
    <d v="2025-09-22T13:13:15"/>
    <m/>
    <s v="IDEIAS-VACUO"/>
    <d v="2025-09-22T13:13:15"/>
    <s v="Fechado"/>
    <s v="ADM/TÉCNICO/ASSISTENTE/ESTAG."/>
  </r>
  <r>
    <s v="FB0121604"/>
    <s v="Alteração no CIL da PKD (ideia já executada)"/>
    <s v="Fechado"/>
    <s v="Alterar a frequencia de limpeza do item &quot;Guia entre mandril e canecas de transferencia&quot; para todo inicio de turno "/>
    <x v="20"/>
    <s v="Pequena mudança local"/>
    <s v="Qualidade"/>
    <x v="311"/>
    <s v="01. LINHA 01"/>
    <d v="2025-09-22T13:14:42"/>
    <m/>
    <s v="IDEIAS-VACUO"/>
    <d v="2025-09-22T13:14:42"/>
    <s v="Fechado"/>
    <s v="ADM/TÉCNICO/ASSISTENTE/ESTAG."/>
  </r>
  <r>
    <s v="FB0121605"/>
    <s v="Alteração no CIL da PKD (ideia já executada)"/>
    <s v="Fechado"/>
    <s v="Alterar a frequencia de &quot;Canecas de transferencia (mandril)&quot; para todo inicio de turno"/>
    <x v="20"/>
    <s v="Pequena mudança local"/>
    <s v="Qualidade"/>
    <x v="312"/>
    <s v="01. LINHA 01"/>
    <d v="2025-09-22T13:14:56"/>
    <m/>
    <s v="IDEIAS-VACUO"/>
    <d v="2025-09-22T13:14:56"/>
    <s v="Fechado"/>
    <s v="ADM/TÉCNICO/ASSISTENTE/ESTAG."/>
  </r>
  <r>
    <s v="FB0121606"/>
    <s v="Alteração no CIL da PKD (ideia já executada)"/>
    <s v="Fechado"/>
    <s v="Alterar a frequencia do item &quot;Guias de recebimento do pacote vindo da caneca para o receptáculo&quot; para todo turno "/>
    <x v="20"/>
    <s v="Pequena mudança local"/>
    <s v="Qualidade"/>
    <x v="313"/>
    <s v="01. LINHA 01"/>
    <d v="2025-09-22T13:15:15"/>
    <m/>
    <s v="IDEIAS-VACUO"/>
    <d v="2025-09-22T13:15:15"/>
    <s v="Fechado"/>
    <s v="ADM/TÉCNICO/ASSISTENTE/ESTAG."/>
  </r>
  <r>
    <s v="FB0121618"/>
    <s v="Alteração no CIL das Fabrimas (ideia já executada)"/>
    <s v="Fechado"/>
    <s v="Alterar a frequencia da limpeza do chão do robo no CIL diário "/>
    <x v="20"/>
    <s v="Pequena mudança local"/>
    <s v="Qualidade"/>
    <x v="314"/>
    <s v="01. LINHA 01"/>
    <d v="2025-09-22T13:12:58"/>
    <m/>
    <s v="IDEIAS-VACUO"/>
    <d v="2025-09-22T13:12:58"/>
    <s v="Fechado"/>
    <s v="ADM/TÉCNICO/ASSISTENTE/ESTAG."/>
  </r>
  <r>
    <s v="FB0122168"/>
    <s v="Replicar melhoria realizada no sensor do torrador 1 no torrador 2. "/>
    <s v="Em andamento"/>
    <s v="No torrador 2 ainda estamos com a condição antiga onde o sensor aciona pelo vapor e precisamos removê-lo para conseguir seguir com as torras sem o bloqueio gerado pelo alarme, é um ponto de atenção pois as falhas que podem vir a acontecer por remover o sensor é um entupimento do ciclone caso não trocarmos a caçamba na hora certa, como fazemos esse procedimento de remover o sensor praticamente todos os dias as chances de vir a ocorrer um entupimento é maior. A ideia seria replicar no T2 a melhoria feita no T1 onde instalaram um sensor que não lê o vapor mas consegue ler com precisão a película. "/>
    <x v="40"/>
    <s v="Grande mudança local"/>
    <s v="Cost (GE, rework)"/>
    <x v="315"/>
    <s v="02. TORREFAÇÃO"/>
    <d v="2025-10-13T13:16:17"/>
    <s v="Ana Martins"/>
    <s v="IDEIAS-PROCESSOS"/>
    <m/>
    <s v="Aguardando material "/>
    <s v="OPERAÇÃO"/>
  </r>
  <r>
    <s v="FB0122221"/>
    <s v="Suporte "/>
    <s v="Fechado"/>
    <s v="Suporte para colocar eixos da PKD_x000a__x000a_-----------------------------------_x000a_Pedro Ferreira: Ideia conversada entre eu e o Vitor, além disso, foi aberto uma etiqueta de 5S, e essa questão será discutida o melhor local para a acomodação do eixo. "/>
    <x v="33"/>
    <s v="Pequena mudança local"/>
    <s v="Organisation of work"/>
    <x v="316"/>
    <s v="01. LINHA 01"/>
    <d v="2025-10-22T10:57:29"/>
    <s v="Leandro Freire"/>
    <s v="IDEIAS-VACUO"/>
    <d v="2025-10-22T10:57:29"/>
    <s v="Fechado"/>
    <s v="OPERAÇÃO"/>
  </r>
  <r>
    <s v="FB0122224"/>
    <s v="faixa de pedestre "/>
    <s v="Em andamento"/>
    <s v="Faixa de pedestre para sinalizar a entrada e saída das pessoas que saem do contêiner da moagem_x000a__x000a_Manufatura: Aprovado e aguardando SHE"/>
    <x v="3"/>
    <s v="Pequena mudança local"/>
    <s v="Safety - Health"/>
    <x v="317"/>
    <s v="03. MOAGEM"/>
    <d v="2025-10-25T10:26:24"/>
    <s v="Tiago Carvalho"/>
    <s v="IDEIAS-PROCESSOS"/>
    <m/>
    <s v="Aguardando Execução "/>
    <s v="OPERAÇÃO"/>
  </r>
  <r>
    <s v="FB0122228"/>
    <s v="melhoria na troca de bobina "/>
    <s v="Em andamento"/>
    <s v="Fixa um suporte no chão para prender o aplicador de fita de referência fazer igual o da PKD_x000a_Pode colocar nas fabrimas e Raumak "/>
    <x v="35"/>
    <s v="Pequena mudança local"/>
    <s v="Cost (GE, rework)"/>
    <x v="318"/>
    <s v="04. LINHA 04"/>
    <d v="2026-04-23T08:41:23"/>
    <s v="Guilherme Oliveira"/>
    <s v="APROVADORES DE IDEIAS"/>
    <m/>
    <s v="Aguardando Orçamento"/>
    <s v="OPERAÇÃO"/>
  </r>
  <r>
    <s v="FB0122351"/>
    <s v="cabo de energia solto no chão na seladora de fazer revisão "/>
    <s v="Cancelado"/>
    <s v="Fazer um suporte aéreo para passagem do cabo de energia"/>
    <x v="48"/>
    <s v="Pequena mudança local"/>
    <s v="Safety - Health"/>
    <x v="319"/>
    <s v="01. LINHA 01"/>
    <d v="2025-09-29T09:11:17"/>
    <m/>
    <s v="IDEIAS-VACUO"/>
    <d v="2025-09-29T09:11:17"/>
    <s v="Cancelado"/>
    <s v="OPERAÇÃO"/>
  </r>
  <r>
    <s v="FB0122411"/>
    <s v="inspecionar guias da esteira de entrada do robô "/>
    <s v="Fechado"/>
    <s v="Inspecionar guias da esteira de entrada do robô se necessário fazer ajuste na posição da guia"/>
    <x v="48"/>
    <s v="Pequena mudança local"/>
    <s v="Cost (GE, rework)"/>
    <x v="320"/>
    <s v="01. LINHA 01"/>
    <d v="2025-09-29T09:06:52"/>
    <s v="Bianca Silva"/>
    <s v="IDEIAS-VACUO"/>
    <d v="2025-09-29T09:06:52"/>
    <s v="Fechado"/>
    <s v="OPERAÇÃO"/>
  </r>
  <r>
    <s v="FB0122564"/>
    <s v="Substituição de quadros de PT com acrílico fixo por quadros magnéticos"/>
    <s v="Em andamento"/>
    <s v="Atualmente, os quadros de PT de SHE possuem acrílicos fixos que dificultam a limpeza, acumulando poeira e sujidade. A proposta é substituir esses quadros por modelos magnéticos, que permitem a remoção simples das proteções pelo time de limpeza, garantindo maior higiene, praticidade e melhor conservação da informação exposta. Além disso, a mudança reduzirá o esforço manual, o tempo de limpeza e contribuirá para um ambiente mais organizado._x000a__x000a_Aprovado."/>
    <x v="43"/>
    <s v="Pequena mudança local"/>
    <s v="Safety - Health"/>
    <x v="321"/>
    <s v="09.19 SALA DE PRODUTOS QUÍMICOS "/>
    <d v="2026-09-11T14:16:30"/>
    <s v="Guilherme Oliveira"/>
    <s v="APROVADORES DE IDEIAS"/>
    <m/>
    <s v="Aguardando Execução "/>
    <s v="ADM/TÉCNICO/ASSISTENTE/ESTAG."/>
  </r>
  <r>
    <s v="FB0122568"/>
    <s v="Fechadura com acesso por biometria na sala de armazenamento de químicos"/>
    <s v="Resolvido"/>
    <s v="Instalação de fechadura eletrônica de acesso por biometria na sala de produtos químicos, com possibilidade de registro de acessos por pessoa_x000a__x000a_Foto em anexo de modelo de exemplo para implementação."/>
    <x v="70"/>
    <s v="Pequena mudança local"/>
    <s v="Safety - Health"/>
    <x v="322"/>
    <s v="09.19 SALA DE PRODUTOS QUÍMICOS "/>
    <d v="2026-07-07T14:05:19"/>
    <s v="Jhonnathan Pereira"/>
    <s v="APROVADORES DE IDEIAS"/>
    <m/>
    <s v="Resolvido"/>
    <s v="ADM/TÉCNICO/ASSISTENTE/ESTAG."/>
  </r>
  <r>
    <s v="FB0122583"/>
    <s v="falta de chave "/>
    <s v="Fechado"/>
    <s v="Na atividade de troca de teflon da Raumak é necessário de uma chave 17  não veio no quite de ferramentas._x000a_É necessário conversar co a operação para ver quais chaves são necessárias se tivéssemos todas as chaves ajudaria até mesmo na inspeção das peneiras não sendo necessário pegar a chave do armário perdendo assim um tempo _x000a_Outra alternativa seria a padronização dos parafusos nos moinhos, para que fosse utilizados menos chaves, reduzindo a alta demanda por diferentes chaves._x000a_-------------------------------_x000a_Pedro Ferreira: Segundo os operadores precisam de Chave combinada 17 e 19, assim, a aquisição será de 12 de cada uma. _x000a_"/>
    <x v="63"/>
    <s v="Pequena mudança local"/>
    <s v="Processo"/>
    <x v="323"/>
    <s v="04. LINHA 04"/>
    <d v="2025-12-10T10:49:53"/>
    <s v="Valeria Yanez"/>
    <s v="APROVADORES DE IDEIAS"/>
    <d v="2025-12-10T10:49:53"/>
    <s v="Fechado"/>
    <s v="OPERAÇÃO"/>
  </r>
  <r>
    <s v="FB0122630"/>
    <s v="suporte de utensílio "/>
    <s v="Em andamento"/>
    <s v="Colocar suporte para utensílios na plataforma da PKD "/>
    <x v="48"/>
    <s v="Pequena mudança local"/>
    <s v="Organisation of work"/>
    <x v="324"/>
    <s v="01. LINHA 01"/>
    <d v="2026-09-17T14:00:10"/>
    <s v="Jhonnathan Pereira"/>
    <s v="APROVADORES DE IDEIAS"/>
    <m/>
    <s v="Aguardando Execução "/>
    <s v="OPERAÇÃO"/>
  </r>
  <r>
    <s v="FB0122670"/>
    <s v="Novo local para sacos de lixo"/>
    <s v="Em andamento"/>
    <s v="Com a possível alocação do eixo da bobina da PKD no suporte onde fica o saco de lixo, seria possível realocar os sacos de lixo, assim, duas escolhas foram levadas em consideração, a primeira na mesa de teste de furo (melhor logística para os operadores) ou entre as pilastras como mostrado na imagem. Portanto, a intenção seria colocar o suporte igual ou parecido ao próximo os moinhos (semelhante na imagem em anexo)."/>
    <x v="46"/>
    <s v="Pequena mudança local"/>
    <s v="Organisation of work"/>
    <x v="325"/>
    <s v="01. LINHA 01"/>
    <d v="2026-09-17T14:19:20"/>
    <s v="Jhonnathan Pereira"/>
    <s v="APROVADORES DE IDEIAS"/>
    <m/>
    <s v="Aguardando Orçamento"/>
    <s v="ADM/TÉCNICO/ASSISTENTE/ESTAG."/>
  </r>
  <r>
    <s v="FB0123103"/>
    <s v="óculos de segurança "/>
    <s v="Cancelado"/>
    <s v="O meu óculos de segurança a parte que posiciona sobre o nariz está machucando e fica me causando dores de cabeça e eu tenho enxaqueca piora um pouco mais, Sugiro que pudesse encomendar um óculos que possui umas borrachas  no meio"/>
    <x v="23"/>
    <s v="Pequena mudança local"/>
    <s v="Safety - Health"/>
    <x v="326"/>
    <s v="09.19 SALA DE PRODUTOS QUÍMICOS "/>
    <d v="2025-10-17T08:43:54"/>
    <m/>
    <s v="IDEIAS-SHE"/>
    <d v="2025-10-17T08:43:54"/>
    <s v="Cancelado"/>
    <s v="OPERAÇÃO"/>
  </r>
  <r>
    <s v="FB0123102"/>
    <s v="Televisão no Container"/>
    <s v="Resolvido"/>
    <s v="Instalar uma televisão e/ou monitor um pouco maior para deixar no container e ver a produção das máquinas. "/>
    <x v="20"/>
    <s v="Pequena mudança local"/>
    <s v="Organisation of work"/>
    <x v="327"/>
    <s v="05. LINHA 05"/>
    <d v="2026-07-07T14:19:20"/>
    <s v="Pedro Ferreira"/>
    <s v="APROVADORES DE IDEIAS"/>
    <m/>
    <s v="Resolvido"/>
    <s v="ADM/TÉCNICO/ASSISTENTE/ESTAG."/>
  </r>
  <r>
    <s v="FB0123104"/>
    <s v="Caderninho de Tempo de Descanso"/>
    <s v="Fechado"/>
    <s v="Todo início de mês, disponibilizar um caderninho com as folhas para Tempo de descanso, que fica no pedestal na frente do torrador. Sendo assim, as folhas evitariam ficar &quot;jogadas&quot; ou &quot;esquecidas&quot; em outros lugares, além de trazer ordem de produção e organização no serviço. "/>
    <x v="20"/>
    <s v="Pequena mudança local"/>
    <s v="Organisation of work"/>
    <x v="328"/>
    <s v="05. LINHA 05"/>
    <d v="2025-10-30T14:53:46"/>
    <m/>
    <s v="APROVADORES DE IDEIAS"/>
    <d v="2025-10-30T14:53:46"/>
    <s v="Fechado"/>
    <s v="ADM/TÉCNICO/ASSISTENTE/ESTAG."/>
  </r>
  <r>
    <s v="FB0123275"/>
    <s v="melhorias nos apalpadores "/>
    <s v="Fechado"/>
    <s v="Apalpadores mais largos e gordinho . E igualar tanto o da frente quanto o de trás para evitar a ficar gastando tempo em ajustes _x000a__x000a_MANUTENÇÃO: MANUFATURA ORÇAR COM TERCEIRO"/>
    <x v="63"/>
    <s v="Pequena mudança local"/>
    <s v="Cost (GE, rework)"/>
    <x v="329"/>
    <s v="04. LINHA 04"/>
    <d v="2025-12-02T08:54:43"/>
    <s v="Moises Costa"/>
    <s v="APROVADORES DE IDEIAS"/>
    <d v="2025-12-02T08:54:43"/>
    <s v="Fechado"/>
    <s v="OPERAÇÃO"/>
  </r>
  <r>
    <s v="FB0123284"/>
    <s v="Caçamba de Descarte de resíduos "/>
    <s v="Cancelado"/>
    <s v="As fabrimas possui o descarte do detector de metal e as peneiras cada uma possui o descarte das peneiras._x000a_E tem que levar os descartes para a caçamba próximo a PKD._x000a_Sugiro que pudesse colocar uma caçamba próximo as fabrimas para descarte pois é muito ruim levar os baldes de inox tem que esforçar muito a coluna e da má ergonomia."/>
    <x v="23"/>
    <s v="Pequena mudança local"/>
    <s v="Safety - Health"/>
    <x v="330"/>
    <s v="02. LINHA 02"/>
    <d v="2025-10-17T08:46:54"/>
    <m/>
    <s v="APROVADORES DE IDEIAS"/>
    <d v="2025-10-17T08:46:54"/>
    <s v="Cancelado"/>
    <s v="OPERAÇÃO"/>
  </r>
  <r>
    <s v="FB0123285"/>
    <s v="Descarte de resíduos das peneiras"/>
    <s v="Resolvido"/>
    <s v="As peneiras ao limpar, tem que varrer para tirar o café no chão e colocar no saco lixo e tem que desce-los passando pela escada, oque é um perigo pois pode escorregar e pode furar mesmo segurando no corrimão._x000a_Sugiro que pudesse fazer um buraco na plataformas das peneiras onde que pudesse ter uma mangueira e pudesse varrer o café para este local e descartar o café mais fácil, e embaixo ter uma caçamba para colocar os resíduos tanto da peneira como dos descarte das fabrimas _x000a__x000a_SHE: Devemos abrir um MOC para analisar os impactos da ideia. Necessitamos de um esboço de como ficará esta solução. A partir dessas informações poderemos aprovar ou recusar a ideia._x000a_"/>
    <x v="23"/>
    <s v="Pequena mudança local"/>
    <s v="Safety - Health"/>
    <x v="331"/>
    <s v="09.19 SALA DE PRODUTOS QUÍMICOS "/>
    <d v="2026-05-28T15:14:28"/>
    <m/>
    <s v="IDEIAS-SHE"/>
    <m/>
    <s v="Resolvido"/>
    <s v="OPERAÇÃO"/>
  </r>
  <r>
    <s v="FB0124313"/>
    <s v="Inclusão de parada no MOP"/>
    <s v="Fechado"/>
    <s v="Adicionar uma parada na PKD, Robô e código da subperda como Sensor do Robô, pois ao embalar café extra forte, as vezes o sensor não lê a fita preta, fazendo com que as caixas encavalem na esteira do robô. Sendo assim, temos que apontar a parada no MOP como Robô não pega caixa ou zona ZNL01 (o que não seria o ideal) "/>
    <x v="20"/>
    <s v="Pequena mudança local"/>
    <s v="Processo"/>
    <x v="332"/>
    <s v="01. JDE CAFES DO BRASIL UNIDADE PIUMHI"/>
    <d v="2026-01-05T08:50:06"/>
    <s v="Relton Moraes"/>
    <s v="IDEIAS-MELHORIA CONTÍNUA"/>
    <d v="2026-01-05T08:50:06"/>
    <s v="Fechado"/>
    <s v="ADM/TÉCNICO/ASSISTENTE/ESTAG."/>
  </r>
  <r>
    <s v="FB0124354"/>
    <s v="Manual com imagens e passos para a inserção da bobina na fabrima "/>
    <s v="Resolvido"/>
    <s v="Um manual com imagens e o passo a passo para que os operadores das fabrimas consigam inserir a bobina na sequencias certa através dos roletes "/>
    <x v="71"/>
    <s v="Pequena mudança local"/>
    <s v="Organisation of work"/>
    <x v="333"/>
    <s v="04. EMPACOTAMENTO"/>
    <d v="2026-05-14T15:10:50"/>
    <s v="Tais Costa"/>
    <s v="APROVADORES DE IDEIAS"/>
    <m/>
    <s v="Resolvido"/>
    <s v="ADM/TÉCNICO/ASSISTENTE/ESTAG."/>
  </r>
  <r>
    <s v="FB0124363"/>
    <s v="Aquisição de vinagre de maça  "/>
    <s v="Fechado"/>
    <s v="A opção de vinagre de maça nas refeições "/>
    <x v="71"/>
    <s v="Pequena mudança local"/>
    <s v="Qualidade"/>
    <x v="334"/>
    <s v="09.17 REFEITÓRIO"/>
    <d v="2025-10-15T13:13:27"/>
    <s v="Ana Pereira"/>
    <s v="IDEIAS-ADMINISTRATIVO"/>
    <d v="2025-10-15T13:13:27"/>
    <s v="Fechado"/>
    <s v="ADM/TÉCNICO/ASSISTENTE/ESTAG."/>
  </r>
  <r>
    <s v="FB0124404"/>
    <s v="retirar a caixa de coleiro reserva e passa a etiquetadora no lugar "/>
    <s v="Em andamento"/>
    <s v="Melhor a passagem correta do fradinho ao sair da Raumak  _x000a_Pois os fardos n se alinha correto na passagem da etiqueta _x000a__x000a_SHE: aprovado. Seguir com a MOC"/>
    <x v="63"/>
    <s v="Grande mudança local"/>
    <s v="Organisation of work"/>
    <x v="335"/>
    <s v="04. LINHA 04"/>
    <d v="2025-10-24T11:54:38"/>
    <m/>
    <s v="APROVADORES DE IDEIAS"/>
    <m/>
    <s v="Aguardando MOC"/>
    <s v="OPERAÇÃO"/>
  </r>
  <r>
    <s v="FB0124563"/>
    <s v="teste centerlining "/>
    <s v="Em andamento"/>
    <s v="Colocar centerlining mas com ranges de ajuste "/>
    <x v="72"/>
    <s v="Pequena mudança local"/>
    <s v="Qualidade"/>
    <x v="336"/>
    <s v="01. LINHA 01"/>
    <d v="2025-10-16T15:40:30"/>
    <m/>
    <s v="IDEIAS-VACUO"/>
    <m/>
    <s v="Aguardando Execução "/>
    <s v="OPERAÇÃO"/>
  </r>
  <r>
    <s v="FB0124966"/>
    <s v="Instalação de tomadas especiais para ventiladores no MOS Academy"/>
    <s v="Em andamento"/>
    <s v="Durante o evento Piumhi Awards, realizado no espaço MOS Academy, foi identificado que o ambiente fica bastante quente._x000a_Para melhorar o conforto térmico dos participantes, sugiro a instalação de duas tomadas especiais (do mesmo tipo utilizado para os ventiladores da produção) nas grades do MOS Academy, sendo uma em cada canto da grade._x000a__x000a_Essas tomadas permitirão ligar ventiladores durante os eventos, melhorando a circulação de ar e o bem-estar dos associados._x000a_"/>
    <x v="43"/>
    <s v="Pequena mudança local"/>
    <s v="Organisation of work"/>
    <x v="337"/>
    <s v="06. ADMINISTRATIVO"/>
    <d v="2026-07-22T00:42:11"/>
    <s v="Anderson Santana"/>
    <s v="APROVADORES DE IDEIAS"/>
    <m/>
    <s v="Aguardando material "/>
    <s v="ADM/TÉCNICO/ASSISTENTE/ESTAG."/>
  </r>
  <r>
    <s v="FB0125022"/>
    <s v="Balde furado para quedas de energia"/>
    <s v="Fechado"/>
    <s v="Baldes com o fundo furado exclusivos para atuação em quedas de energia, para facilitar o descarte de café e ganharmos tempo de retirada do café encharcado.. reduzindo a sujeira na área, diminuir os riscos de escorregão e acidentes com excesso de água no chão e melhoria na ergonomia.. pois o café cru principalmente + a água fica muito pesado._x000a__x000a_Pelo menos 2 baldes."/>
    <x v="5"/>
    <s v="Pequena mudança local"/>
    <s v="Organisation of work"/>
    <x v="338"/>
    <s v="02. TORREFAÇÃO"/>
    <d v="2026-02-03T14:42:16"/>
    <s v="Pedro Ferreira"/>
    <s v="IDEIAS-PROCESSOS"/>
    <d v="2026-02-03T14:42:16"/>
    <s v="Fechado"/>
    <s v="OPERAÇÃO"/>
  </r>
  <r>
    <s v="FB0125147"/>
    <s v="caixinha para guardar as bolinhas do detector de metal "/>
    <s v="Em andamento"/>
    <s v="caixinha para guardar as bolinhas do detector de metal , está sendo guardado em um saquinho , corre o risco de rasgar pois é armazenado junto com as maletas "/>
    <x v="19"/>
    <s v="Pequena mudança local"/>
    <s v="Organisation of work"/>
    <x v="339"/>
    <s v="05. LINHA 05"/>
    <d v="2026-09-17T14:17:32"/>
    <s v="Ana Martins"/>
    <s v="APROVADORES DE IDEIAS"/>
    <m/>
    <s v="Aguardando Orçamento"/>
    <s v="OPERAÇÃO"/>
  </r>
  <r>
    <s v="FB0125445"/>
    <s v="Prateleiras na sala de químicos"/>
    <s v="Resolvido"/>
    <s v="Instalação de prateleiras na sala de armazenamento de produtos químicos, com o objetivo de melhorar a organização dos produtos químicos armazenados._x000a_A estrutura pode ser composta por prateleiras fixadas na parede com parafusos, conforme exemplo em foto, ou por prateleiras com suporte tipo mão francesa._x000a_Além disso, realizar a remoção do armário antigo atualmente utilizado para armazenar documentos. Para substituí-lo, realizar a instalação de um organizador de documentos de parede, conforme modelo apresentado na imagem anexada."/>
    <x v="70"/>
    <s v="Pequena mudança local"/>
    <s v="Organisation of work"/>
    <x v="340"/>
    <s v="09.19 SALA DE PRODUTOS QUÍMICOS "/>
    <d v="2026-07-07T14:27:44"/>
    <s v="Jhonnathan Pereira"/>
    <s v="APROVADORES DE IDEIAS"/>
    <m/>
    <s v="Resolvido"/>
    <s v="ADM/TÉCNICO/ASSISTENTE/ESTAG."/>
  </r>
  <r>
    <s v="FB0125464"/>
    <s v="Atualizar ponto de CIL nos Torradores "/>
    <s v="Em andamento"/>
    <s v="XXXXXXXXXXXXXX"/>
    <x v="13"/>
    <s v="Grande mudança local"/>
    <s v="Processo"/>
    <x v="341"/>
    <s v="01. JDE CAFES DO BRASIL UNIDADE PIUMHI"/>
    <d v="2026-09-11T15:29:26"/>
    <s v="Luzia Rodrigues"/>
    <s v="APROVADORES DE IDEIAS"/>
    <m/>
    <s v="Aguardando Execução "/>
    <s v="ADM/TÉCNICO/ASSISTENTE/ESTAG."/>
  </r>
  <r>
    <s v="FB0125639"/>
    <s v="Cadeado na caixa de contenção da logística"/>
    <s v="Fechado"/>
    <s v="Instalação de cantoneiras para cadeado na caixa de contenção da logística."/>
    <x v="70"/>
    <s v="Pequena mudança local"/>
    <s v="Safety - Health"/>
    <x v="342"/>
    <s v="09.19 SALA DE PRODUTOS QUÍMICOS "/>
    <d v="2026-01-19T09:11:54"/>
    <s v="Jhonnathan Pereira"/>
    <s v="IDEIAS-SHE"/>
    <d v="2026-01-19T09:11:54"/>
    <s v="Fechado"/>
    <s v="ADM/TÉCNICO/ASSISTENTE/ESTAG."/>
  </r>
  <r>
    <s v="FB0125662"/>
    <s v="Criar instruções para as sirenes das Fabrimas (troca de Silo)"/>
    <s v="Resolvido"/>
    <s v="Com a incorporação da ideia das sirenes na troca de silo das fabrimas, é importante destacar os pontos onde estaria identificado quando a sirene vai acionar e o que o operador deve fazer, ou seja, definir um passo a passo, com tempo de resposta dos sensores dos silos, até o acionamento das sirenes, além de estabelecer que a sirene toca quando o sensor apaga e quando não há troca de rota dos silos. "/>
    <x v="46"/>
    <s v="Pequena mudança local"/>
    <s v="Cost (GE, rework)"/>
    <x v="343"/>
    <s v="04. EMPACOTAMENTO"/>
    <d v="2026-05-14T15:58:47"/>
    <m/>
    <s v="APROVADORES DE IDEIAS"/>
    <m/>
    <s v="Resolvido"/>
    <s v="ADM/TÉCNICO/ASSISTENTE/ESTAG."/>
  </r>
  <r>
    <s v="FB0125746"/>
    <s v="colocar etiqueta "/>
    <s v="Em andamento"/>
    <s v="Umas válvulas de registro dos torradores está sem entiques precisa fabricar as e tíquetes MF e MÁ para colocar no registro ( foi feito pedido Moisés realizar compra do material e fabricação das etiquetas."/>
    <x v="2"/>
    <s v="Pequena mudança local"/>
    <s v="Processo"/>
    <x v="344"/>
    <s v="02. TORREFAÇÃO"/>
    <d v="2026-05-14T15:59:37"/>
    <s v="Moises Costa"/>
    <s v="IDEIAS-PROCESSOS"/>
    <m/>
    <s v="Aguardando Execução "/>
    <s v="OPERAÇÃO"/>
  </r>
  <r>
    <s v="FB0125785"/>
    <s v="ideia de melhoria teste"/>
    <s v="Cancelado"/>
    <s v="Descrever informações completas"/>
    <x v="17"/>
    <s v="Pequena mudança local"/>
    <s v="Cost (GE, rework)"/>
    <x v="345"/>
    <s v="01. LINHA 01"/>
    <d v="2025-10-28T10:56:15"/>
    <m/>
    <s v="IDEIAS-VACUO"/>
    <d v="2025-10-28T10:56:16"/>
    <s v="Cancelado"/>
    <s v="ADM/TÉCNICO/ASSISTENTE/ESTAG."/>
  </r>
  <r>
    <s v="FB0125969"/>
    <s v="copo do dosador da fabrima 2"/>
    <s v="Fechado"/>
    <s v="Porta de inspeção do copo do dosador com dificuldade ao acesso na parte interna do copo"/>
    <x v="63"/>
    <s v="Pequena mudança local"/>
    <s v="Organisation of work"/>
    <x v="346"/>
    <s v="04. LINHA 04"/>
    <d v="2025-10-30T11:20:45"/>
    <s v="Moises Costa"/>
    <s v="APROVADORES DE IDEIAS"/>
    <d v="2025-10-30T11:20:45"/>
    <s v="Fechado"/>
    <s v="OPERAÇÃO"/>
  </r>
  <r>
    <s v="FB0125980"/>
    <s v="copo do dosador da fabrima 4"/>
    <s v="Fechado"/>
    <s v="Porta de inspeção do copo do dosador com dificuldade ao acesso na parte interna do copo"/>
    <x v="63"/>
    <s v="Pequena mudança local"/>
    <s v="Organisation of work"/>
    <x v="347"/>
    <s v="04. LINHA 04"/>
    <d v="2025-10-30T11:20:35"/>
    <s v="Moises Costa"/>
    <s v="APROVADORES DE IDEIAS"/>
    <d v="2025-10-30T11:20:35"/>
    <s v="Fechado"/>
    <s v="OPERAÇÃO"/>
  </r>
  <r>
    <s v="FB0125981"/>
    <s v="copo do dosador da fabrima 5"/>
    <s v="Fechado"/>
    <s v="Porta de inspeção do copo do dosador com dificuldade ao acesso na parte interna do copo"/>
    <x v="63"/>
    <s v="Pequena mudança local"/>
    <s v="Organisation of work"/>
    <x v="348"/>
    <s v="04. LINHA 04"/>
    <d v="2025-10-30T14:56:37"/>
    <s v="Moises Costa"/>
    <s v="APROVADORES DE IDEIAS"/>
    <d v="2025-10-30T14:56:37"/>
    <s v="Fechado"/>
    <s v="OPERAÇÃO"/>
  </r>
  <r>
    <s v="FB0126026"/>
    <s v="Troca dos parafusos"/>
    <s v="Resolvido"/>
    <s v="Eu gostaria que trocasse os parafusos laterais onde fixa o mordente vertical da fabrima 4 e 2._x000a_Para ficar que nem a da 5, Onde a 5 Possui na lateral dele Um Parafuso de cabeça de plástico._x000a_Usei a da Foto do parafuso como referência para que possam entender._x000a_E também marquei com o vermelho os parafuso da 5 o qual que eu gostaria que ficasse que pudesse trocar a da 4 e 2 para ficar que nem a 5._x000a_Pois facilita muito ao trocar o teflon do mordente vertical._x000a_Pois durante o turno tem vezes que o teflon não está bom e ter que trocar durante o turno pois suja de café e tira a cola do teflon , E fazendo a Troca dos parafusos laterais onde fixa o mordente vertical e ficasse que nem a 5 Facilitaria muito para nós operadores ao trocar o teflon,Pois aí não precisaria procurar qual chave que é, pois seria só desenroscar o parafuso com a cabeça de plástico. "/>
    <x v="23"/>
    <s v="Pequena mudança local"/>
    <s v="Cost (GE, rework)"/>
    <x v="349"/>
    <s v="04. EMPACOTAMENTO"/>
    <d v="2026-08-31T10:43:14"/>
    <m/>
    <s v="APROVADORES DE IDEIAS"/>
    <m/>
    <s v="Resolvido"/>
    <s v="OPERAÇÃO"/>
  </r>
  <r>
    <s v="FB0126250"/>
    <s v="SUPORTE PARA TAMPAS DOS MOINHOS"/>
    <s v="Fechado"/>
    <s v="Produzir um suporte para as tampas dos moinhos, para ser utilizado nas preventivas. Assim evitando que elas amassem ou sejam contaminadas._x000a__x000a_Precisamos apenas comprar o material, será produzido por um mecânico da JDE."/>
    <x v="44"/>
    <s v="Pequena mudança local"/>
    <s v="Organisation of work"/>
    <x v="350"/>
    <s v="01. JDE CAFES DO BRASIL UNIDADE PIUMHI"/>
    <d v="2025-12-11T09:37:43"/>
    <s v="Aline Fernandes"/>
    <s v="IDEIAS-MELHORIA CONTÍNUA"/>
    <d v="2025-12-11T09:37:43"/>
    <s v="Fechado"/>
    <s v="ADM/TÉCNICO/ASSISTENTE/ESTAG."/>
  </r>
  <r>
    <s v="FB0126261"/>
    <s v="pintura de amarelo de toda cerca cinza e pilares"/>
    <s v="Cancelado"/>
    <s v="Efetuando o treinamento de empilhadeira notei que toda estrutura de cercado da fábrica é em amarelo exceto algumas partes que suspeito ter sido colocada mais recente._x000a_Para uma melhor visualização , evitar acidentes e padronização escrevo essa ideia de pintar todas as grades de amarelo na parada de fim de ano._x000a_Junto dessa ideia complemento com outra que seria pintar os pilares em amarelo, todos que estejam tenha trânsito da empilhadeira ou carro de limpeza na sua área. (Caso essa seja vista como outra ideia entre em contato para eu realizar o cadastro)."/>
    <x v="73"/>
    <s v="Pequena mudança local"/>
    <s v="Safety - Health"/>
    <x v="351"/>
    <s v="08. LOGISTICA"/>
    <d v="2026-01-26T10:41:54"/>
    <m/>
    <s v="IDEIAS-LOGÍSTICA"/>
    <d v="2026-01-26T10:41:54"/>
    <s v="Cancelado"/>
    <s v="OPERAÇÃO"/>
  </r>
  <r>
    <s v="FB0126285"/>
    <s v="Alteração CIL Mensal dos Moinhos"/>
    <s v="Fechado"/>
    <s v="Alterar o CIL estrutural para os 6 moinhos pois na nova versão, estrutural, não é possível os tres operadores assinarem que realizaram a atividade, mas os tres realizam porém em moinhos diferentes. "/>
    <x v="20"/>
    <s v="Pequena mudança local"/>
    <s v="Organisation of work"/>
    <x v="352"/>
    <s v="01. JDE CAFES DO BRASIL UNIDADE PIUMHI"/>
    <d v="2025-11-05T14:29:41"/>
    <m/>
    <s v="IDEIAS-MELHORIA CONTÍNUA"/>
    <d v="2025-11-05T14:29:41"/>
    <s v="Fechado"/>
    <s v="ADM/TÉCNICO/ASSISTENTE/ESTAG."/>
  </r>
  <r>
    <s v="FB0126286"/>
    <s v="Trocar o quadro de OPS1 do torrador"/>
    <s v="Em andamento"/>
    <s v="Trocar o quadro, colocar um acrilico na frente do quadro de OPS1 dos torradores, visto que o que tem lá não dá mais para escrever de tão gasto. _x000a__x000a_-------------------------------_x000a_Pedro Ferreira (05/11): Orçamento já realizado, falta apenas a execução. "/>
    <x v="20"/>
    <s v="Pequena mudança local"/>
    <s v="Organisation of work"/>
    <x v="353"/>
    <s v="01. TORRADORES"/>
    <d v="2026-07-03T11:02:46"/>
    <s v="Pedro Ferreira"/>
    <s v="APROVADORES DE IDEIAS"/>
    <m/>
    <s v="Aguardando material "/>
    <s v="ADM/TÉCNICO/ASSISTENTE/ESTAG."/>
  </r>
  <r>
    <s v="FB0126312"/>
    <s v="perder "/>
    <s v="Resolvido"/>
    <s v="Prender o estilete na mesa para que não suma novamente. Fica no mino 4 metros para que possam ser usados para abrir o paletes de caixas _x000a__x000a_Manutenção: Mecanico foi para realizar o furo e a instalação e foi dito que não poderia pois só tinham um estilete!"/>
    <x v="72"/>
    <s v="Pequena mudança local"/>
    <s v="Organisation of work"/>
    <x v="354"/>
    <s v="01. LINHA 01"/>
    <d v="2026-05-06T14:41:55"/>
    <m/>
    <s v="IDEIAS-VACUO"/>
    <m/>
    <s v="Resolvido"/>
    <s v="OPERAÇÃO"/>
  </r>
  <r>
    <s v="FB0126514"/>
    <s v="Conectar o detector de Metais nas maquinas"/>
    <s v="Cancelado"/>
    <s v="A ideia é conectar o detector de metais nas maquinas para impedir o ligamento da máquina sem ligar o detector de metais. _x000a__x000a_Manutenção: Foi aliando no projeto inicial de não interligar pois caso detector de metais, não ligue a maquina não vai ligar! necessario aprovação de outras areas_x000a__x000a_Manufatura: é complicado essa interligação pois na PKD por exemplo o detector ainda está sem funcionar, outro ponto é que o operador precisa fazer a verificação do PPRO com as bolinhas no início e meio do turno, então ele veria neste momento que o detector estaria ligado ou não"/>
    <x v="41"/>
    <s v="Pequena mudança local"/>
    <s v="Qualidade"/>
    <x v="355"/>
    <s v="01. JDE CAFES DO BRASIL UNIDADE PIUMHI"/>
    <d v="2025-12-15T15:32:01"/>
    <m/>
    <s v="IDEIAS-MELHORIA CONTÍNUA"/>
    <d v="2025-12-15T15:32:01"/>
    <s v="Cancelado"/>
    <s v="ADM/TÉCNICO/ASSISTENTE/ESTAG."/>
  </r>
  <r>
    <s v="FB0127122"/>
    <s v="suporte para utensílios "/>
    <s v="Cancelado"/>
    <s v="Suporte para utensílios de limpeza na área de descarte "/>
    <x v="48"/>
    <s v="Pequena mudança local"/>
    <s v="Organisation of work"/>
    <x v="356"/>
    <s v="01. LINHA 01"/>
    <d v="2025-11-25T13:19:48"/>
    <m/>
    <s v="IDEIAS-VACUO"/>
    <d v="2025-11-25T13:19:48"/>
    <s v="Cancelado"/>
    <s v="OPERAÇÃO"/>
  </r>
  <r>
    <s v="FB0127239"/>
    <s v="tambor reserva captação de pó PKD "/>
    <s v="Cancelado"/>
    <s v="Tambor reserva captação de pó da PKD "/>
    <x v="48"/>
    <s v="Pequena mudança local"/>
    <s v="Organisation of work"/>
    <x v="357"/>
    <s v="04. EMPACOTAMENTO"/>
    <d v="2026-01-08T09:48:38"/>
    <m/>
    <s v="APROVADORES DE IDEIAS"/>
    <d v="2026-01-08T09:48:38"/>
    <s v="Cancelado"/>
    <s v="OPERAÇÃO"/>
  </r>
  <r>
    <s v="FB0127277"/>
    <s v="lixeira individual para copos"/>
    <s v="Cancelado"/>
    <s v="Lixeira para copos descartáveis _x000a__x000a_SHE: Não viável pois nossos copos plásticos descartáveis não são destinados para a reciclagem devido ao tipo de plásticos que ele é feito (PS), sendo assim, como alternativa eles são destinados a blendagem para coprocessamento, mesma tecnologia utilizada para o lixo comum e alternativas para resíduos onde não possam ser reciclados. Na pratica o copo plástico descartável é um lixo comum"/>
    <x v="48"/>
    <s v="Pequena mudança local"/>
    <s v="Meio Ambiente"/>
    <x v="358"/>
    <s v="09.19 SALA DE PRODUTOS QUÍMICOS "/>
    <d v="2025-12-04T10:39:30"/>
    <m/>
    <s v="IDEIAS-SHE"/>
    <d v="2025-12-04T10:39:30"/>
    <s v="Cancelado"/>
    <s v="OPERAÇÃO"/>
  </r>
  <r>
    <s v="FB0127350"/>
    <s v="Reformulação dos painéis de Alarmes"/>
    <s v="Fechado"/>
    <s v="As folhas nos painéis de alarmes estão desatualizadas, precisa-se atualizar para que os brigadistas tenham mais assertividade na hora de uma emergência."/>
    <x v="68"/>
    <s v="Pequena mudança local"/>
    <s v="Safety - Health"/>
    <x v="359"/>
    <s v="09.19 SALA DE PRODUTOS QUÍMICOS "/>
    <d v="2026-01-19T09:15:15"/>
    <s v="Jhonnathan Pereira"/>
    <s v="IDEIAS-SHE"/>
    <d v="2026-01-19T09:15:15"/>
    <s v="Fechado"/>
    <s v="ADM/TÉCNICO/ASSISTENTE/ESTAG."/>
  </r>
  <r>
    <s v="FB0127390"/>
    <s v="Colocar um suporte na área de descarte "/>
    <s v="Cancelado"/>
    <s v="Colocar suporte da vassoura, pazinha e do varre mesa na área descarte das caçambas pra facilitar pra fazer a limpeza do local. "/>
    <x v="38"/>
    <s v="Pequena mudança local"/>
    <s v="Organisation of work"/>
    <x v="360"/>
    <s v="01. LINHA 01"/>
    <d v="2025-11-12T15:24:03"/>
    <m/>
    <s v="IDEIAS-VACUO"/>
    <d v="2025-11-12T15:24:03"/>
    <s v="Cancelado"/>
    <s v="OPERAÇÃO"/>
  </r>
  <r>
    <s v="FB0127477"/>
    <s v="ontem de parada faltando na árvore de perda da PKD "/>
    <s v="Resolvido"/>
    <s v="Magazine de pacotes"/>
    <x v="48"/>
    <s v="Pequena mudança local"/>
    <s v="Cost (GE, rework)"/>
    <x v="361"/>
    <s v="01. LINHA 01"/>
    <d v="2026-04-29T13:06:29"/>
    <s v="Relton Moraes"/>
    <s v="IDEIAS-VACUO"/>
    <m/>
    <s v="Resolvido"/>
    <s v="OPERAÇÃO"/>
  </r>
  <r>
    <s v="FB0127482"/>
    <s v="Colocar um &quot;copinho&quot; na mesa do borracheiro da PKD "/>
    <s v="Resolvido"/>
    <s v="Colocar algum suporte na mesa do borracheiro para poder colocar as borrachinhas que são necessárias para realizar o borracheiro, visto que hoje fica dentro do rolinho de uma fita azul. "/>
    <x v="20"/>
    <s v="Pequena mudança local"/>
    <s v="Organisation of work"/>
    <x v="362"/>
    <s v="04. EMPACOTAMENTO"/>
    <d v="2026-07-03T11:03:14"/>
    <s v="Ana Martins"/>
    <s v="APROVADORES DE IDEIAS"/>
    <m/>
    <s v="Resolvido"/>
    <s v="ADM/TÉCNICO/ASSISTENTE/ESTAG."/>
  </r>
  <r>
    <s v="FB0127528"/>
    <s v="realizar a troca de lado da mangueira do ar comprimido Fab 4"/>
    <s v="Fechado"/>
    <s v="troca da mangueira do ar comprimido que é usada para encher o eixo expansivo , a mesma está do lado invertido"/>
    <x v="19"/>
    <s v="Pequena mudança local"/>
    <s v="Cost (GE, rework)"/>
    <x v="363"/>
    <s v="05. LINHA 05"/>
    <d v="2025-11-12T14:07:04"/>
    <s v="Moises Costa"/>
    <s v="APROVADORES DE IDEIAS"/>
    <d v="2025-11-12T14:07:04"/>
    <s v="Fechado"/>
    <s v="OPERAÇÃO"/>
  </r>
  <r>
    <s v="FB0127575"/>
    <s v="Mesa para LUP"/>
    <s v="Rascunho"/>
    <s v="Mesa para ser disponibilizada na sala piumhi para que os operadores possam elaborar LUPs. Nas gavetas podemos deixar os materiais necessários para desenho e junto já o box de aprovação. A proposta de ser na sala piumhi é para ser próximo à operação mas não ter problemas de qualidade com os materiais de desenho. Ação do Pilar MA."/>
    <x v="17"/>
    <s v="Pequena mudança local"/>
    <s v="Organisation of work"/>
    <x v="364"/>
    <s v="06. ADMINISTRATIVO"/>
    <d v="2026-07-03T11:05:04"/>
    <m/>
    <s v="APROVADORES DE IDEIAS"/>
    <m/>
    <s v="Rascunho"/>
    <s v="ADM/TÉCNICO/ASSISTENTE/ESTAG."/>
  </r>
  <r>
    <s v="FB0127682"/>
    <s v="incluir linha  na categoria de apontamento do robô "/>
    <s v="Fechado"/>
    <s v="incluir linha  na categoria de apontamento do robô , operadores estão tendo dificuldade em lembrar de especificar qual linha teve a parada, tendo uma opção de qual linha fica mais fácil para o apontamento _x000a_Linha 4 _x000a_Linha 5_x000a_Ou  Fabrima 4 e 5_x000a_"/>
    <x v="19"/>
    <s v="Pequena mudança local"/>
    <s v="Processo"/>
    <x v="365"/>
    <s v="05. LINHA 05"/>
    <d v="2025-12-01T13:27:19"/>
    <s v="Relton Moraes"/>
    <s v="APROVADORES DE IDEIAS"/>
    <d v="2025-12-01T13:27:19"/>
    <s v="Fechado"/>
    <s v="OPERAÇÃO"/>
  </r>
  <r>
    <s v="FB0127698"/>
    <s v="Espelho para o Banheiro femenino"/>
    <s v="Cancelado"/>
    <s v="A instalação de um espelho corpo completo na area dos banheiros "/>
    <x v="71"/>
    <s v="Pequena mudança local"/>
    <s v="Organisation of work"/>
    <x v="366"/>
    <s v="09.5 BANHEIROS "/>
    <d v="2025-11-12T13:42:07"/>
    <m/>
    <s v="IDEIAS-ADMINISTRATIVO"/>
    <d v="2025-11-12T13:42:07"/>
    <s v="Cancelado"/>
    <s v="ADM/TÉCNICO/ASSISTENTE/ESTAG."/>
  </r>
  <r>
    <s v="FB0127699"/>
    <s v="QR DE RH"/>
    <s v="Resolvido"/>
    <s v="Criar um QR Code para sugestões e reclamações de temas voltados para RH. Igual o que temos  para o refeitório"/>
    <x v="44"/>
    <s v="Pequena mudança local"/>
    <s v="Organisation of work"/>
    <x v="367"/>
    <s v="06. ADMINISTRATIVO"/>
    <d v="2026-07-03T11:05:20"/>
    <s v="Fabrizia Soares"/>
    <s v="APROVADORES DE IDEIAS"/>
    <m/>
    <s v="Resolvido"/>
    <s v="ADM/TÉCNICO/ASSISTENTE/ESTAG."/>
  </r>
  <r>
    <s v="FB0127763"/>
    <s v="Acumulador "/>
    <s v="Em andamento"/>
    <s v="Foi aberto uma ideia sobre fazer uma lubrificação do arremessador!_x000a_Sugiro que também possa aproveitar a oportunidade de estar fazendo a lubrificação dos componentes do Acumulador, Arremessador e junto com os outros demais componentes que necessitam de lubrificação!_x000a_Para que possa ter um bom funcionamento, pois evita desgaste nas peças e a máquina perfomance melhor e não ocorra muitas paradas não planejadas, pois estava acontecendo falhas frequentes na Raumak e foi necessário somente lubrificar as peças e além do mais precisou mexer nos parâmetros!_x000a_SE POSSÍVEL APLICAR ESTA IDEIA UMA VEZ POR MÊS!"/>
    <x v="23"/>
    <s v="Pequena mudança local"/>
    <s v="Processo"/>
    <x v="368"/>
    <s v="04. EMPACOTAMENTO"/>
    <d v="2026-09-11T14:38:21"/>
    <s v="Valeria Yanez"/>
    <s v="APROVADORES DE IDEIAS"/>
    <m/>
    <s v="Aguardando Execução "/>
    <s v="OPERAÇÃO"/>
  </r>
  <r>
    <s v="FB0127775"/>
    <s v="Inspeção visual dos mordentes horizontal e borracha"/>
    <s v="Fechado"/>
    <s v="Gostaria que aplicasse no CIL, Sobre a inspeção visual dos mordentes horizontal, pois não tem no cil, para uma melhor selagem do fardo e caso esteja ruim ter que trocar o teflon"/>
    <x v="23"/>
    <s v="Pequena mudança local"/>
    <s v="Cost (GE, rework)"/>
    <x v="369"/>
    <s v="04. LINHA 04"/>
    <d v="2025-12-18T10:04:39"/>
    <s v="Bianca Silva"/>
    <s v="APROVADORES DE IDEIAS"/>
    <d v="2025-12-18T10:04:39"/>
    <s v="Fechado"/>
    <s v="OPERAÇÃO"/>
  </r>
  <r>
    <s v="FB0127776"/>
    <s v="Troca do Níquel cromo mensal "/>
    <s v="Cancelado"/>
    <s v="Programar para os eletrônicos fazer a troca dos níquel cromo mensal, para uma selagem perfeita, e peço que coloque um papel no contanier para que os eletrônicos assinem mostrando que trocou o níquel cromo_x000a__x000a_MANUTENÇÃO: ESSA TROCA DO NIQUEL CROMO JÁ FOI  DISCUTIDA COM ELETRONICO VISTO NECESSARIO A TROCA A CADA 2 MESES PREVENTIVAMENTE"/>
    <x v="23"/>
    <s v="Pequena mudança local"/>
    <s v="Processo"/>
    <x v="370"/>
    <s v="04. LINHA 04"/>
    <d v="2025-11-24T13:25:34"/>
    <m/>
    <s v="APROVADORES DE IDEIAS"/>
    <d v="2025-11-24T13:25:34"/>
    <s v="Cancelado"/>
    <s v="OPERAÇÃO"/>
  </r>
  <r>
    <s v="FB0127777"/>
    <s v="troca do teflon dos mordentes horizontal de 15 em 15 dias"/>
    <s v="Fechado"/>
    <s v="Programar para um turno específico para trocar o teflon de 15 em 15 dias do mordente horizontal da Raumak(  Níquel cromo), para uma melhor durabilidade do níquel cromo._x000a__x000a_COMENTÁRIO ADICIONAL EMILLY:_x000a_Programar para o 2T fazer a troca;"/>
    <x v="23"/>
    <s v="Pequena mudança local"/>
    <s v="Processo"/>
    <x v="371"/>
    <s v="04. LINHA 04"/>
    <d v="2025-12-18T10:04:59"/>
    <s v="Bianca Silva"/>
    <s v="APROVADORES DE IDEIAS"/>
    <d v="2025-12-18T10:04:59"/>
    <s v="Fechado"/>
    <s v="OPERAÇÃO"/>
  </r>
  <r>
    <s v="FB0127861"/>
    <s v="realizar padronização da bailarina da Fabrima 4 e 5  de acordo com a Fabrima 2 e 3"/>
    <s v="Em andamento"/>
    <s v="Deve ser realizado a confecção do novo sistema de acordo com a bailarina da Fabrima 2 e 3"/>
    <x v="12"/>
    <s v="Pequena mudança local"/>
    <s v="Cost (GE, rework)"/>
    <x v="372"/>
    <s v="04. EMPACOTAMENTO"/>
    <d v="2026-08-10T14:08:05"/>
    <s v="Anderson Santana"/>
    <s v="APROVADORES DE IDEIAS"/>
    <m/>
    <s v="Aguardando Execução "/>
    <s v="ADM/TÉCNICO/ASSISTENTE/ESTAG."/>
  </r>
  <r>
    <s v="FB0127877"/>
    <s v="CIL mensal torradores"/>
    <s v="Fechado"/>
    <s v="Incluir no CIL mensal dos torradores a limpeza das fornalhas internas dos torradores, a limpeza é indicado para que não haja acumulo de sujidade que pode contaminar o self clean e consequentemente as camaras de torra "/>
    <x v="42"/>
    <s v="Pequena mudança local"/>
    <s v="Processo"/>
    <x v="373"/>
    <s v="02. TORREFAÇÃO"/>
    <d v="2026-01-05T08:49:53"/>
    <s v="Bianca Silva"/>
    <s v="IDEIAS-PROCESSOS"/>
    <d v="2026-01-05T08:49:53"/>
    <s v="Fechado"/>
    <s v="ADM/TÉCNICO/ASSISTENTE/ESTAG."/>
  </r>
  <r>
    <s v="FB0127878"/>
    <s v="CIL mensal torradores "/>
    <s v="Fechado"/>
    <s v="Incluir limpeza de grades do sistema de resfriamento das camaras de resfriamento, a limpeza é necessário para que o sistema de resfriamento não tenha dificuldade em passagem de ar por sujidade _x000a_Frequência: mensal"/>
    <x v="42"/>
    <s v="Pequena mudança local"/>
    <s v="Processo"/>
    <x v="374"/>
    <s v="02. TORREFAÇÃO"/>
    <d v="2025-12-18T10:00:53"/>
    <s v="Bianca Silva"/>
    <s v="IDEIAS-PROCESSOS"/>
    <d v="2025-12-18T10:00:53"/>
    <s v="Fechado"/>
    <s v="ADM/TÉCNICO/ASSISTENTE/ESTAG."/>
  </r>
  <r>
    <s v="FB0128040"/>
    <s v="Padronização das Reguladoras de fluxo do acumulador de pacotes "/>
    <s v="Em andamento"/>
    <s v="Padronizar as reguladoras de fluxo do cilindro do acumulador _x000a_sugestão: Colocarmos os reguladores que contam o numero de voltas para colocarmos no mapa de ajuste."/>
    <x v="31"/>
    <s v="Pequena mudança local"/>
    <s v="Processo"/>
    <x v="375"/>
    <s v="05. LINHA 05"/>
    <d v="2025-11-14T14:19:27"/>
    <s v="Ana Martins"/>
    <s v="APROVADORES DE IDEIAS"/>
    <m/>
    <s v="Aguardando Execução "/>
    <s v="ADM/TÉCNICO/ASSISTENTE/ESTAG."/>
  </r>
  <r>
    <s v="FB0128285"/>
    <s v="Incluir no CIL mensal a limpeza das ventosa "/>
    <s v="Fechado"/>
    <s v="Treinamento de limpeza das ventosas ja foi passado para a Operação e IT ja esta realizada _x000a_Necessário incluir atividade no CIL "/>
    <x v="31"/>
    <s v="Pequena mudança local"/>
    <s v="Processo"/>
    <x v="376"/>
    <s v="06. PALETIZADORAS DE FARDOS"/>
    <d v="2025-12-18T10:06:04"/>
    <s v="Bianca Silva"/>
    <s v="APROVADORES DE IDEIAS"/>
    <d v="2025-12-18T10:06:04"/>
    <s v="Fechado"/>
    <s v="ADM/TÉCNICO/ASSISTENTE/ESTAG."/>
  </r>
  <r>
    <s v="FB0128286"/>
    <s v="Incluir no CIL a troca dos teflons das Guias internas do arremessador "/>
    <s v="Fechado"/>
    <s v="No plano contempla somente a troca das guias da esteira rápida, necessário colocar as guias internas do arremessador (CIL mensal)"/>
    <x v="31"/>
    <s v="Pequena mudança local"/>
    <s v="Processo"/>
    <x v="377"/>
    <s v="05. LINHA 05"/>
    <d v="2025-12-18T10:05:56"/>
    <s v="Bianca Silva"/>
    <s v="APROVADORES DE IDEIAS"/>
    <d v="2025-12-18T10:05:56"/>
    <s v="Fechado"/>
    <s v="ADM/TÉCNICO/ASSISTENTE/ESTAG."/>
  </r>
  <r>
    <s v="FB0128292"/>
    <s v="Solda na fixação do cilindro acumulador da Raumak 04"/>
    <s v="Em andamento"/>
    <s v="Replicar melhoria do suporte da fixação do cilindro acumulador _x000a_como ocorreu a quebra dessa peça de fixação algumas vezes, foi realizado a solda do suporte no conjunto do arremessador "/>
    <x v="31"/>
    <s v="Pequena mudança local"/>
    <s v="Processo"/>
    <x v="378"/>
    <s v="04. LINHA 04"/>
    <d v="2026-08-10T14:05:58"/>
    <s v="Anderson Santana"/>
    <s v="APROVADORES DE IDEIAS"/>
    <m/>
    <s v="Aguardando Execução "/>
    <s v="ADM/TÉCNICO/ASSISTENTE/ESTAG."/>
  </r>
  <r>
    <s v="FB0128406"/>
    <s v="Sensor de Películas torrador 3"/>
    <s v="Resolvido"/>
    <s v="Viabilizar o funcionamento do sensor de nível de películas do torrador 3; que já existe no local está ligado, mas não funciona via supervisorio, sendo necessário monitoramento constante da operação e risco de obstrução de ciclone. "/>
    <x v="5"/>
    <s v="Pequena mudança local"/>
    <s v="Processo"/>
    <x v="379"/>
    <s v="02. TORREFAÇÃO"/>
    <d v="2026-03-24T15:20:45"/>
    <m/>
    <s v="IDEIAS-PROCESSOS"/>
    <m/>
    <s v="Resolvido"/>
    <s v="OPERAÇÃO"/>
  </r>
  <r>
    <s v="FB0128543"/>
    <s v="Sistema de segurança rosca película"/>
    <s v="Em andamento"/>
    <s v="Criar um sistema &quot;reserva&quot; onde a rosca plana de película continue em funcionamento mesmo que a inclinada pare, este sistema teria que continuar expulsando a película mesmo que seja jogada no chão. Isso evitaria a obstrução dos ciclones deixando de impactar as paradas para resfriamento do torrrador, e desobstrução. _x000a__x000a_Manufatura: Precisamos de avaliação de SHE e automação por favor_x000a__x000a_SHE: Ponto de vista de SHE, ideia deveria ser cancelada, mas verificar com engenharia."/>
    <x v="50"/>
    <s v="Pequena mudança local"/>
    <s v="Cost (GE, rework)"/>
    <x v="380"/>
    <s v="02. TORREFAÇÃO"/>
    <d v="2026-05-01T13:15:49"/>
    <m/>
    <s v="IDEIAS-PROCESSOS"/>
    <m/>
    <s v="Aguardando Validação"/>
    <s v="OPERAÇÃO"/>
  </r>
  <r>
    <s v="FB0128544"/>
    <s v="Mudança de rotas dos moinhos"/>
    <s v="Rascunho"/>
    <s v="Ajustar a logica para que pudesse usar diferentes moinhos para abastecer um silo, e da mesma forma puxar de um silo de grão. O exemplo usado que temos 2 moinhos parados de diferentes pares isso força o operador a utilizar apenas um moinho, se pudéssemos utilizar moinhos diferentes seria a solução para não parar moinho. EX: moinho 2 e 5 parados. Hoje poderíamos ligar o 3e4 em conjunto e escolher ligar o 1 ou o 6 . A ideia seria que os pares não fossem fixos, possibilitando ligar o moinho 1 e 3 em par e 4 e 6 em par com isso não teríamos impacto na moagem e em empacotamento._x000a__x000a_Manufatura: precisamos da avaliação de automação por favor"/>
    <x v="50"/>
    <s v="Pequena mudança local"/>
    <s v="Cost (GE, rework)"/>
    <x v="381"/>
    <s v="03. MOAGEM"/>
    <d v="2026-06-30T14:08:46"/>
    <m/>
    <s v="APROVADORES DE IDEIAS"/>
    <m/>
    <s v="Rascunho"/>
    <s v="OPERAÇÃO"/>
  </r>
  <r>
    <s v="FB0128608"/>
    <s v="colocar um inforca gato no lototo"/>
    <s v="Cancelado"/>
    <s v="Melhor para encaixar no cadeado e evita o rasgo do lototo , economizando mais "/>
    <x v="63"/>
    <s v="Pequena mudança local"/>
    <s v="Organisation of work"/>
    <x v="382"/>
    <s v="04. LINHA 04"/>
    <d v="2025-12-01T13:34:41"/>
    <m/>
    <s v="APROVADORES DE IDEIAS"/>
    <d v="2025-12-01T13:34:41"/>
    <s v="Cancelado"/>
    <s v="OPERAÇÃO"/>
  </r>
  <r>
    <s v="FB0128739"/>
    <s v="Alteração CIL Fabrimas "/>
    <s v="Fechado"/>
    <s v="Mudar o modo de realizar a atividade &quot;Roletes da Fabrima&quot; para passar o varremesa e pano perflex. "/>
    <x v="20"/>
    <s v="Pequena mudança local"/>
    <s v="Qualidade"/>
    <x v="383"/>
    <s v="01. JDE CAFES DO BRASIL UNIDADE PIUMHI"/>
    <d v="2025-11-25T08:59:05"/>
    <s v="Bianca Silva"/>
    <s v="IDEIAS-MELHORIA CONTÍNUA"/>
    <d v="2025-11-25T08:59:05"/>
    <s v="Fechado"/>
    <s v="ADM/TÉCNICO/ASSISTENTE/ESTAG."/>
  </r>
  <r>
    <s v="FB0128740"/>
    <s v="Alteração no CIL das Fabrimas "/>
    <s v="Fechado"/>
    <s v="Mudar a frequência da limpeza do acomodador do robô, ao invés de quinzenalmente ser mensalmente. Consequentemente, adicionar no CIL mensal a limpeza do mesmo. "/>
    <x v="20"/>
    <s v="Pequena mudança local"/>
    <s v="Qualidade"/>
    <x v="384"/>
    <s v="01. JDE CAFES DO BRASIL UNIDADE PIUMHI"/>
    <d v="2025-11-25T08:59:44"/>
    <s v="Bianca Silva"/>
    <s v="IDEIAS-MELHORIA CONTÍNUA"/>
    <d v="2025-11-25T08:59:44"/>
    <s v="Fechado"/>
    <s v="ADM/TÉCNICO/ASSISTENTE/ESTAG."/>
  </r>
  <r>
    <s v="FB0129252"/>
    <s v="Melhoria Centerlining PKD /Forms"/>
    <s v="Fechado"/>
    <s v="No campo de preenchimento do produto que está sendo envasado .Ja tenha uma listas dos produtos disponível que são envasado "/>
    <x v="1"/>
    <s v="Pequena mudança local"/>
    <s v="Organisation of work"/>
    <x v="385"/>
    <s v="01. LINHA 01"/>
    <d v="2025-11-25T13:37:43"/>
    <s v="Moises Costa"/>
    <s v="IDEIAS-VACUO"/>
    <d v="2025-11-25T13:37:43"/>
    <s v="Fechado"/>
    <s v="OPERAÇÃO"/>
  </r>
  <r>
    <s v="FB0129296"/>
    <s v="ideia fechar todas as partes abertas das fabrimas diminuindo contaminação e sujeira "/>
    <s v="Em andamento"/>
    <s v="Ideia vinda do projeto mentalidade de dono "/>
    <x v="49"/>
    <s v="Pequena mudança local"/>
    <s v="Product"/>
    <x v="386"/>
    <s v="04. LINHA 04"/>
    <d v="2026-09-17T14:17:10"/>
    <s v="Jhonnathan Pereira"/>
    <s v="APROVADORES DE IDEIAS"/>
    <m/>
    <s v="Aguardando Orçamento"/>
    <s v="OPERAÇÃO"/>
  </r>
  <r>
    <s v="FB0129489"/>
    <s v="colarinho fabrima 5"/>
    <s v="Em andamento"/>
    <s v="Fazer marcação ,onde o filme tem que passar , para garantir uma selagem vertical perfeita , ficando mais fácil saber onde será feito o ajuste do colarinho , caso seja necessário, implementar no CIL "/>
    <x v="19"/>
    <s v="Grande mudança local"/>
    <s v="Organisation of work"/>
    <x v="387"/>
    <s v="05. LINHA 05"/>
    <d v="2025-12-01T09:39:08"/>
    <m/>
    <s v="APROVADORES DE IDEIAS"/>
    <m/>
    <s v="Aguardando Execução "/>
    <s v="OPERAÇÃO"/>
  </r>
  <r>
    <s v="FB0129525"/>
    <s v="medir o nível dos roletes da data e corte "/>
    <s v="Resolvido"/>
    <s v="medir o nível dos roletes da data e corte  ( nas preventivas ), pois são roletes de fazem movimentos, podendo vir a comprometer a formação dos pacotes e a codificação "/>
    <x v="19"/>
    <s v="Pequena mudança local"/>
    <s v="Organisation of work"/>
    <x v="388"/>
    <s v="05. LINHA 05"/>
    <d v="2026-08-03T10:24:55"/>
    <s v="Andre Mendes Costa"/>
    <s v="APROVADORES DE IDEIAS"/>
    <m/>
    <s v="Resolvido"/>
    <s v="OPERAÇÃO"/>
  </r>
  <r>
    <s v="FB0129528"/>
    <s v="conferir o nível do rolete do freio "/>
    <s v="Resolvido"/>
    <s v="Fazer conferência nas preventivas , do nível do rolete ,pois esse rolete faz movimentos , e já tivemos problemas com parafusos com folgas , fazendo essa conferência de nível , já pode ser inspecionados os parafusos , e o freio com problema compromete a selagem da vertical "/>
    <x v="19"/>
    <s v="Pequena mudança local"/>
    <s v="Processo"/>
    <x v="389"/>
    <s v="05. LINHA 05"/>
    <d v="2026-03-13T16:45:09"/>
    <s v="Andre Mendes Costa"/>
    <s v="APROVADORES DE IDEIAS"/>
    <m/>
    <s v="Resolvido"/>
    <s v="OPERAÇÃO"/>
  </r>
  <r>
    <s v="FB0129531"/>
    <s v="Aspirador pneumático com material de Kevlar"/>
    <s v="Em andamento"/>
    <s v="Desenvolver um aspirador pneumático com a bolsa de armazenamento de resíduo de kevlar, para a limpeza das estruturas dos ciclones (CIL turno a turno dos torradores); hoje é usado ar comprimido para realizar devido a temperatura alta do sistema de ciclones, porém, a área é considerada ATEX não sendo o ideal usar ar comprimido. Esse aspirador seria uma forma segura para o processo e para as pessoas. _x000a__x000a_SHE: Aprovado."/>
    <x v="42"/>
    <s v="Pequena mudança local"/>
    <s v="Safety - Health"/>
    <x v="390"/>
    <s v="09.19 SALA DE PRODUTOS QUÍMICOS "/>
    <d v="2026-06-10T13:57:36"/>
    <s v="Guilherme Oliveira"/>
    <s v="IDEIAS-SHE"/>
    <m/>
    <s v="Aguardando Execução "/>
    <s v="ADM/TÉCNICO/ASSISTENTE/ESTAG."/>
  </r>
  <r>
    <s v="FB0129614"/>
    <s v="inspeção "/>
    <s v="Rascunho"/>
    <s v="Inspecionar pressão dos socadores PKD "/>
    <x v="48"/>
    <s v="Pequena mudança local"/>
    <s v="Processo"/>
    <x v="391"/>
    <s v="01. LINHA 01"/>
    <d v="2026-06-30T14:09:01"/>
    <m/>
    <s v="APROVADORES DE IDEIAS"/>
    <m/>
    <s v="Rascunho"/>
    <s v="OPERAÇÃO"/>
  </r>
  <r>
    <s v="FB0129946"/>
    <s v="Correia de arraste fabrimas "/>
    <s v="Resolvido"/>
    <s v="Realizar nas preventivas o alinhamento das correias de arraste, pois é fundamental estarem alinhadas para a tração funcionar perfeitas "/>
    <x v="19"/>
    <s v="Pequena mudança local"/>
    <s v="Processo"/>
    <x v="392"/>
    <s v="05. LINHA 05"/>
    <d v="2026-09-17T10:45:42"/>
    <m/>
    <s v="APROVADORES DE IDEIAS"/>
    <m/>
    <s v="Resolvido"/>
    <s v="OPERAÇÃO"/>
  </r>
  <r>
    <s v="FB0129965"/>
    <s v="Instalação de sensor ultrassônico no silos de biomassa "/>
    <s v="Em andamento"/>
    <s v="Atualmente, o sensor de nível máximo dos silos de serviço (biomassa) é do tipo capacitivo, dependente de contato para atuar. Temos ocorrências crônicas de formação de bolsões de ar no interior do silo, impedindo o acionamento do sensor e resultando em transbordamentos._x000a__x000a_A proposta é substituir o sensor capacitivo por um sensor ultrassônico, que não requer contato com o material para realizar a medição. Esse tipo de sensor permite medir distâncias e níveis, além de detectar presença de objetos ou obstáculos, mantendo desempenho mesmo em ambientes com poeira ou superfícies irregulares."/>
    <x v="30"/>
    <s v="Pequena mudança local"/>
    <s v="Processo"/>
    <x v="393"/>
    <s v="02. SISTEMA DE CAVACO"/>
    <d v="2025-12-01T15:06:36"/>
    <s v="Ana Martins"/>
    <s v="IDEIAS-PROCESSOS"/>
    <m/>
    <s v="Aguardando Validação"/>
    <s v="ADM/TÉCNICO/ASSISTENTE/ESTAG."/>
  </r>
  <r>
    <s v="FB0129970"/>
    <s v="Instalação de softstarter no sistema de partida das roscas extratoras dos Moinhos"/>
    <s v="Em andamento"/>
    <s v="Atualmente, as roscas extratoras dos moinhos operam em partida direta, ou seja, os motores não utilizam rampa de aceleração suave. Esse modo de partida provoca esforços mecânicos elevados, resultando em desgaste prematuro tanto dos motores quanto das roscas, além de aumentar os custos de manutenção e o tempo de parada dos moinhos."/>
    <x v="30"/>
    <s v="Pequena mudança local"/>
    <s v="Cost (GE, rework)"/>
    <x v="394"/>
    <s v="01. JDE CAFES DO BRASIL UNIDADE PIUMHI"/>
    <d v="2026-09-04T15:32:49"/>
    <m/>
    <s v="APROVADORES DE IDEIAS"/>
    <m/>
    <s v="Aguardando Execução "/>
    <s v="ADM/TÉCNICO/ASSISTENTE/ESTAG."/>
  </r>
  <r>
    <s v="FB0130456"/>
    <s v="Limpeza do gerador de vácuo do robô - CIL"/>
    <s v="Fechado"/>
    <s v="Incluir no CIL a limpeza do gerador de vácuo do robô e a inspeção da integridade das borradas._x000a__x000a_A LUP sobre essa atividade já existe. Ao incluir no CIL colocar a referência da LUP: 07-13.494"/>
    <x v="17"/>
    <s v="Pequena mudança local"/>
    <s v="Processo"/>
    <x v="395"/>
    <s v="01. JDE CAFES DO BRASIL UNIDADE PIUMHI"/>
    <d v="2025-12-18T10:05:48"/>
    <s v="Bianca Silva"/>
    <s v="IDEIAS-MELHORIA CONTÍNUA"/>
    <d v="2025-12-18T10:05:48"/>
    <s v="Fechado"/>
    <s v="ADM/TÉCNICO/ASSISTENTE/ESTAG."/>
  </r>
  <r>
    <s v="FB0130496"/>
    <s v=" CIL MENSAL"/>
    <s v="Fechado"/>
    <s v="Realizar lubrificação das guias lineares do introdutor de pacotes (esteira de entrada da encaixotadora)"/>
    <x v="48"/>
    <s v="Pequena mudança local"/>
    <s v="Cost (GE, rework)"/>
    <x v="396"/>
    <s v="01. LINHA 01"/>
    <d v="2025-12-18T10:05:24"/>
    <s v="Bianca Silva"/>
    <s v="IDEIAS-VACUO"/>
    <d v="2025-12-18T10:05:24"/>
    <s v="Fechado"/>
    <s v="OPERAÇÃO"/>
  </r>
  <r>
    <s v="FB0130497"/>
    <s v="CIL MENSAL"/>
    <s v="Em andamento"/>
    <s v="Realizar  lubrificação do mancal oposto ao acionamento da corrente principal "/>
    <x v="48"/>
    <s v="Pequena mudança local"/>
    <s v="Processo"/>
    <x v="397"/>
    <s v="01. LINHA 01"/>
    <d v="2026-09-11T14:43:30"/>
    <s v="Valeria Yanez"/>
    <s v="APROVADORES DE IDEIAS"/>
    <m/>
    <s v="Aguardando Execução "/>
    <s v="OPERAÇÃO"/>
  </r>
  <r>
    <s v="FB0130498"/>
    <s v="CIL MENSAL "/>
    <s v="Fechado"/>
    <s v="Realizar lubrificação dos mancais da esteira de saída do robô "/>
    <x v="48"/>
    <s v="Pequena mudança local"/>
    <s v="Processo"/>
    <x v="398"/>
    <s v="01. LINHA 01"/>
    <d v="2026-01-05T08:46:52"/>
    <s v="Bianca Silva"/>
    <s v="IDEIAS-VACUO"/>
    <d v="2026-01-05T08:46:52"/>
    <s v="Fechado"/>
    <s v="OPERAÇÃO"/>
  </r>
  <r>
    <s v="FB0130499"/>
    <s v="CIL Mensal "/>
    <s v="Fechado"/>
    <s v="Realizar lubrificação do mancal do acionamento do magazine de caixa"/>
    <x v="48"/>
    <s v="Pequena mudança local"/>
    <s v="Processo"/>
    <x v="399"/>
    <s v="01. LINHA 01"/>
    <d v="2025-12-18T10:05:12"/>
    <s v="Bianca Silva"/>
    <s v="IDEIAS-VACUO"/>
    <d v="2025-12-18T10:05:12"/>
    <s v="Fechado"/>
    <s v="OPERAÇÃO"/>
  </r>
  <r>
    <s v="FB0130500"/>
    <s v="CIL Mensal "/>
    <s v="Fechado"/>
    <s v="Realizar lubrificação das guias do magazine de caixa"/>
    <x v="48"/>
    <s v="Pequena mudança local"/>
    <s v="Processo"/>
    <x v="400"/>
    <s v="01. LINHA 01"/>
    <d v="2025-12-18T10:05:18"/>
    <s v="Bianca Silva"/>
    <s v="IDEIAS-VACUO"/>
    <d v="2025-12-18T10:05:18"/>
    <s v="Fechado"/>
    <s v="OPERAÇÃO"/>
  </r>
  <r>
    <s v="FB0130501"/>
    <s v="CIL Mensal "/>
    <s v="Fechado"/>
    <s v="Adicionar o ponto &quot;Magazine de Caixas&quot; no CIL da PKD. _x000a__x000a_Observação: lubrificação. "/>
    <x v="20"/>
    <s v="Pequena mudança local"/>
    <s v="Cost (GE, rework)"/>
    <x v="401"/>
    <s v="01. LINHA 01"/>
    <d v="2025-12-18T10:02:28"/>
    <s v="Bianca Silva"/>
    <s v="IDEIAS-VACUO"/>
    <d v="2025-12-18T10:02:28"/>
    <s v="Fechado"/>
    <s v="ADM/TÉCNICO/ASSISTENTE/ESTAG."/>
  </r>
  <r>
    <s v="FB0130502"/>
    <s v="CIL Mensal "/>
    <s v="Fechado"/>
    <s v="Adicionar o ponto &quot;Guias da corrente e engrenagens do magazine de caixas&quot; no CIL da PKD. _x000a__x000a_Observação: lubrificação. "/>
    <x v="20"/>
    <s v="Pequena mudança local"/>
    <s v="Processo"/>
    <x v="402"/>
    <s v="01. LINHA 01"/>
    <d v="2025-12-18T10:03:10"/>
    <s v="Bianca Silva"/>
    <s v="IDEIAS-VACUO"/>
    <d v="2025-12-18T10:03:10"/>
    <s v="Fechado"/>
    <s v="ADM/TÉCNICO/ASSISTENTE/ESTAG."/>
  </r>
  <r>
    <s v="FB0130503"/>
    <s v="CIL Mensal"/>
    <s v="Fechado"/>
    <s v="Adicionar o ponto &quot;Braço das Ventosas&quot; no CIL da PKD. _x000a__x000a_Observação: lubrificação. "/>
    <x v="20"/>
    <s v="Pequena mudança local"/>
    <s v="Processo"/>
    <x v="403"/>
    <s v="01. LINHA 01"/>
    <d v="2025-12-18T10:03:47"/>
    <s v="Bianca Silva"/>
    <s v="IDEIAS-VACUO"/>
    <d v="2025-12-18T10:03:47"/>
    <s v="Fechado"/>
    <s v="ADM/TÉCNICO/ASSISTENTE/ESTAG."/>
  </r>
  <r>
    <s v="FB0130504"/>
    <s v="CIL Mensal"/>
    <s v="Fechado"/>
    <s v="Adicionar o ponto &quot;Virador de Caixas&quot; no CIL da PKD. _x000a__x000a_Observação: lubrificação. "/>
    <x v="20"/>
    <s v="Pequena mudança local"/>
    <s v="Processo"/>
    <x v="404"/>
    <s v="01. LINHA 01"/>
    <d v="2025-12-18T10:02:46"/>
    <s v="Bianca Silva"/>
    <s v="IDEIAS-VACUO"/>
    <d v="2025-12-18T10:02:46"/>
    <s v="Fechado"/>
    <s v="ADM/TÉCNICO/ASSISTENTE/ESTAG."/>
  </r>
  <r>
    <s v="FB0130505"/>
    <s v="CIL Mensal"/>
    <s v="Cancelado"/>
    <s v="Adicionar o ponto &quot;Esteira de entrada de pacote&quot; no CIL da PKD. _x000a__x000a_Observação: lubrificação. "/>
    <x v="20"/>
    <s v="Pequena mudança local"/>
    <s v="Processo"/>
    <x v="405"/>
    <s v="01. JDE CAFES DO BRASIL UNIDADE PIUMHI"/>
    <d v="2025-12-11T23:53:29"/>
    <m/>
    <s v="IDEIAS-MELHORIA CONTÍNUA"/>
    <d v="2025-12-11T23:53:29"/>
    <s v="Cancelado"/>
    <s v="ADM/TÉCNICO/ASSISTENTE/ESTAG."/>
  </r>
  <r>
    <s v="FB0130794"/>
    <s v="Ideia André: Ponto eletrônico Secullum - registro facil"/>
    <s v="Rascunho"/>
    <s v="André deu a sugestão de alterar o ponto para o Secullum conforme vídeo: https://www.youtube.com/watch?v=zd_dyr3VODk&amp;t=1s"/>
    <x v="26"/>
    <s v="Pequena mudança local"/>
    <s v="Organisation of work"/>
    <x v="406"/>
    <s v="06. ADMINISTRATIVO"/>
    <d v="2026-07-03T11:06:30"/>
    <m/>
    <s v="APROVADORES DE IDEIAS"/>
    <m/>
    <s v="Rascunho"/>
    <s v="ADM/TÉCNICO/ASSISTENTE/ESTAG."/>
  </r>
  <r>
    <s v="FB0130845"/>
    <s v="Falta de escada nas fabrimas "/>
    <s v="Cancelado"/>
    <s v="Falta de escada nas fabrimas, e uso obrigatório é necessário! Peço que possam estar solicitando 3 escadas uma para 2 e uma 4 e outra para 5 para fácil manuseio"/>
    <x v="23"/>
    <s v="Pequena mudança local"/>
    <s v="Organisation of work"/>
    <x v="407"/>
    <s v="02. LINHA 02"/>
    <d v="2026-04-16T16:13:04"/>
    <m/>
    <s v="APROVADORES DE IDEIAS"/>
    <d v="2026-04-16T16:13:04"/>
    <s v="Cancelado"/>
    <s v="OPERAÇÃO"/>
  </r>
  <r>
    <s v="FB0131272"/>
    <s v="GANCHOS PARA CAPA DE CHUVA"/>
    <s v="Em andamento"/>
    <s v="Instalar próximo a prateleira de capacetes, ganchos para pendurar capas de chuva."/>
    <x v="44"/>
    <s v="Pequena mudança local"/>
    <s v="Organisation of work"/>
    <x v="408"/>
    <s v="06. ADMINISTRATIVO"/>
    <d v="2026-07-03T11:06:59"/>
    <m/>
    <s v="APROVADORES DE IDEIAS"/>
    <m/>
    <s v="Aguardando material "/>
    <s v="ADM/TÉCNICO/ASSISTENTE/ESTAG."/>
  </r>
  <r>
    <s v="FB0131366"/>
    <s v="ter um suporte com uma placa informando qual café está moendo nos moinhos que tem as moegas."/>
    <s v="Resolvido"/>
    <s v="O intuito é que possa ser mais rápido para reprocessar."/>
    <x v="74"/>
    <s v="Pequena mudança local"/>
    <s v="Qualidade"/>
    <x v="409"/>
    <s v="04. EMPACOTAMENTO"/>
    <d v="2026-07-21T16:29:16"/>
    <s v="Angelina Destefani"/>
    <s v="APROVADORES DE IDEIAS"/>
    <m/>
    <s v="Resolvido"/>
    <s v="OPERAÇÃO"/>
  </r>
  <r>
    <s v="FB0131371"/>
    <s v="CIL Mensal"/>
    <s v="Fechado"/>
    <s v="Adicionar o ponto &quot;Esteira de entrada de pacote&quot; no CIL da PKD. _x000a__x000a_Observação: lubrificação. "/>
    <x v="20"/>
    <s v="Pequena mudança local"/>
    <s v="Processo"/>
    <x v="410"/>
    <s v="01. LINHA 01"/>
    <d v="2025-12-18T10:02:57"/>
    <s v="Bianca Silva"/>
    <s v="IDEIAS-VACUO"/>
    <d v="2025-12-18T10:02:57"/>
    <s v="Fechado"/>
    <s v="ADM/TÉCNICO/ASSISTENTE/ESTAG."/>
  </r>
  <r>
    <s v="FB0131419"/>
    <s v="fazer um suporte para colocar embalagem de teste de R.o"/>
    <s v="Cancelado"/>
    <s v="Fazer caixa de suporte para embalagem de teste de R.O"/>
    <x v="2"/>
    <s v="Pequena mudança local"/>
    <s v="Qualidade"/>
    <x v="411"/>
    <s v="03. LINHA 03"/>
    <d v="2026-04-16T16:11:05"/>
    <m/>
    <s v="APROVADORES DE IDEIAS"/>
    <d v="2026-04-16T16:11:05"/>
    <s v="Cancelado"/>
    <s v="OPERAÇÃO"/>
  </r>
  <r>
    <s v="FB0131422"/>
    <s v="Extensão da altura da moega de Cavaco"/>
    <s v="Resolvido"/>
    <s v="A ideia é aumentar a altura das laterais e da parte de trás da moega em 60 cm para evitar cair cavaco no chão. A altura da parte da frente será mantida._x000a__x000a_"/>
    <x v="10"/>
    <s v="Pequena mudança local"/>
    <s v="Organisation of work"/>
    <x v="412"/>
    <s v="01. CAFÉ CRU"/>
    <d v="2026-05-29T11:39:08"/>
    <s v="Valeria Yanez"/>
    <s v="IDEIAS-CAFÉ CRÚ"/>
    <m/>
    <s v="Resolvido"/>
    <s v="OPERAÇÃO"/>
  </r>
  <r>
    <s v="FB0131431"/>
    <s v="melhoria das caçamba de rejeito do torrador "/>
    <s v="Resolvido"/>
    <s v="A ideia é reaproveitar a caçamba que será inutilizada para substituir o big bag que fica para armazenar o rejeito de poeira dos captadores de pó. Para implementar essa substituição, será necessário afunilar o fundo de forma que a abertura do fundo para descarte final fique centralizado para facilitar o escoamento do pó, evitando a dispersão de pó na área externa ao realizar o descarte na caçamba da ambipar e o impacto da estrutura da tampa na caçamba, diminuindo o desgaste da estrutura da caçamba. Além de realizar uma melhoria na da alça para transporte que seria completa, melhorando o encaixe do garfo."/>
    <x v="10"/>
    <s v="Pequena mudança local"/>
    <s v="Organisation of work"/>
    <x v="413"/>
    <s v="01. CAFÉ CRU"/>
    <d v="2026-08-10T14:07:36"/>
    <s v="Flavia Silveira"/>
    <s v="APROVADORES DE IDEIAS"/>
    <m/>
    <s v="Resolvido"/>
    <s v="OPERAÇÃO"/>
  </r>
  <r>
    <s v="FB0131465"/>
    <s v="mangueira de ar PKD"/>
    <s v="Fechado"/>
    <s v="Sugiro que está mangueira tenha um tamanho menor , que fosse o suficiente para limpar a balança e colocar ar no eixo da bobina _x000a__x000a_MANUTENÇÃO: IDEIA OK, POREM AVALIAR A VIABILIDADE COM A MANUFATURA."/>
    <x v="54"/>
    <s v="Pequena mudança local"/>
    <s v="Organisation of work"/>
    <x v="414"/>
    <s v="01. LINHA 01"/>
    <d v="2026-01-27T15:47:30"/>
    <m/>
    <s v="IDEIAS-VACUO"/>
    <d v="2026-01-27T15:47:30"/>
    <s v="Fechado"/>
    <s v="OPERAÇÃO"/>
  </r>
  <r>
    <s v="FB0131529"/>
    <s v="exaustor na área de descarga do café cru"/>
    <s v="Cancelado"/>
    <s v="Colocar um sistema de exaustão de pó e calor em cima da área de descarga de café cru_x000a__x000a_MANUTENÇÃO E ENGENHARIA: IDEIA INVIAVEL, VISTO QUE A UM PROJETO QUE SERÁ EXECUTADO FUTURAMENTE QUE IRÁ RESOLVER ESSE PROBLEMA, ALÉM DISSO TRATA-SE DE UM PROJETO E NÃO DE UMA IDEIA, VISTO QUE ECONOMICAMENTE FALANDO SERIA DE ALTO VALOR."/>
    <x v="7"/>
    <s v="Pequena mudança local"/>
    <s v="Processo"/>
    <x v="415"/>
    <s v="01. CAFÉ CRU"/>
    <d v="2026-01-12T10:23:10"/>
    <m/>
    <s v="IDEIAS-CAFÉ CRÚ"/>
    <d v="2026-01-12T10:23:10"/>
    <s v="Cancelado"/>
    <s v="OPERAÇÃO"/>
  </r>
  <r>
    <s v="FB0131780"/>
    <s v="redução do trilho da caçamba de captação de pó do despredador 2"/>
    <s v="Resolvido"/>
    <s v="Deveríamos reduzir o comprimento do trilho para evitarmos colisões do pneu da empilhadeira_x000a__x000a_Podemos realizar internamente, só precisa de um mecânico para cortar a peça._x000a__x000a_Pedro Ferreira: Ideia aprovada e será realizada pela manutenção assim que possível."/>
    <x v="10"/>
    <s v="Pequena mudança local"/>
    <s v="Safety - Health"/>
    <x v="416"/>
    <s v="01. CAFÉ CRU"/>
    <d v="2026-03-16T08:58:05"/>
    <m/>
    <s v="IDEIAS-CAFÉ CRÚ"/>
    <m/>
    <s v="Resolvido"/>
    <s v="OPERAÇÃO"/>
  </r>
  <r>
    <s v="FB0131781"/>
    <s v="suporte de trava para segurar o portão de entrada da carreta café cru"/>
    <s v="Resolvido"/>
    <s v="Melhorar a segurança do portão em caso de ventos e chuvas fortes _x000a_MANUTENÇÃO: ESTÁ VERIFICANDO VIABILIDADE"/>
    <x v="63"/>
    <s v="Pequena mudança local"/>
    <s v="Safety - Health"/>
    <x v="417"/>
    <s v="04. LINHA 04"/>
    <d v="2026-07-29T13:25:49"/>
    <s v="Pedro Ferreira"/>
    <s v="APROVADORES DE IDEIAS"/>
    <m/>
    <s v="Resolvido"/>
    <s v="OPERAÇÃO"/>
  </r>
  <r>
    <s v="FB0131895"/>
    <s v="Realizar a colocação de ponto de tomada "/>
    <s v="Fechado"/>
    <s v="Realizar a implantação de tomada  no ponto demarcado para o uso do aspirador de pó na encaixotadora._x000a_Ideia discutida com o Eletrônico Wallace "/>
    <x v="1"/>
    <s v="Pequena mudança local"/>
    <s v="Organisation of work"/>
    <x v="418"/>
    <s v="01. LINHA 01"/>
    <d v="2026-01-20T11:13:06"/>
    <s v="Wallace Pereira"/>
    <s v="IDEIAS-VACUO"/>
    <d v="2026-01-20T11:13:06"/>
    <s v="Fechado"/>
    <s v="OPERAÇÃO"/>
  </r>
  <r>
    <s v="FB0132034"/>
    <s v="Inclusão de atividade no CIL "/>
    <s v="Resolvido"/>
    <s v="Incluir a atividade de limpeza das ventosas do robô no CIL mensal, tendo em vista que o pessoal ja foi treinado da forma correta de realizar a atividade "/>
    <x v="31"/>
    <s v="Pequena mudança local"/>
    <s v="Processo"/>
    <x v="419"/>
    <s v="04. EMPACOTAMENTO"/>
    <d v="2026-05-14T14:49:13"/>
    <s v="Bianca Silva"/>
    <s v="APROVADORES DE IDEIAS"/>
    <m/>
    <s v="Resolvido"/>
    <s v="ADM/TÉCNICO/ASSISTENTE/ESTAG."/>
  </r>
  <r>
    <s v="FB0132035"/>
    <s v="Inclusão de atividade no CIL "/>
    <s v="Resolvido"/>
    <s v="Incluir no CIL mensal a atividade de limpeza da lona da esteira rápida, tendo em vista que e um ponto que quando sujo pode causar má formação de fardos... devido a sujeira o pacote não e tracionado corretamente pela esteira."/>
    <x v="31"/>
    <s v="Pequena mudança local"/>
    <s v="Processo"/>
    <x v="420"/>
    <s v="04. EMPACOTAMENTO"/>
    <d v="2026-08-04T05:55:41"/>
    <s v="Thaissa Oliveira"/>
    <s v="APROVADORES DE IDEIAS"/>
    <m/>
    <s v="Resolvido"/>
    <s v="ADM/TÉCNICO/ASSISTENTE/ESTAG."/>
  </r>
  <r>
    <s v="FB0132038"/>
    <s v="Inclusão de atividade no CIL mensal"/>
    <s v="Resolvido"/>
    <s v="Incluir a atividade do CIL mensal de troca dos teflons das guias da esteira rápida e as guias do arremessador (Pontos onde quando há desgaste dos teflons causa muitas paradas não planejadas por má formação de fardos"/>
    <x v="31"/>
    <s v="Pequena mudança local"/>
    <s v="Processo"/>
    <x v="421"/>
    <s v="04. EMPACOTAMENTO"/>
    <d v="2026-07-03T11:10:01"/>
    <s v="Thaissa Oliveira"/>
    <s v="APROVADORES DE IDEIAS"/>
    <m/>
    <s v="Resolvido"/>
    <s v="ADM/TÉCNICO/ASSISTENTE/ESTAG."/>
  </r>
  <r>
    <s v="FB0133405"/>
    <s v="adicionar ar comprimido "/>
    <s v="Cancelado"/>
    <s v="Adicionar uma mangueira de ar comprimido no lado citado na seta, para melhoria de limpeza da plataforma."/>
    <x v="75"/>
    <s v="Pequena mudança local"/>
    <s v="Organisation of work"/>
    <x v="422"/>
    <s v="01. CAFÉ CRU"/>
    <d v="2026-04-20T17:37:56"/>
    <s v="Giovanna Biffaratte"/>
    <s v="IDEIAS-CAFÉ CRÚ"/>
    <d v="2026-04-20T17:37:56"/>
    <s v="Cancelado"/>
    <s v="OPERAÇÃO"/>
  </r>
  <r>
    <s v="FB0133528"/>
    <s v="alteração da batelada silo 11"/>
    <s v="Fechado"/>
    <s v="Altera o peso da batelada de 500 para 250 kilos.Igor fez a melhoria está pendente teste."/>
    <x v="76"/>
    <s v="Pequena mudança local"/>
    <s v="Processo"/>
    <x v="423"/>
    <s v="01. CAFÉ CRU"/>
    <d v="2026-01-19T10:13:00"/>
    <s v="Igor Sousa"/>
    <s v="IDEIAS-CAFÉ CRÚ"/>
    <d v="2026-01-19T10:13:00"/>
    <s v="Fechado"/>
    <s v="OPERAÇÃO"/>
  </r>
  <r>
    <s v="FB0133529"/>
    <s v="Batente do tubo formador"/>
    <s v="Em andamento"/>
    <s v="Criar um centerlining do batente do tubo formador, com uma margem ou um padrão fixo, visando evitar ajustes nele."/>
    <x v="14"/>
    <s v="Pequena mudança local"/>
    <s v="Cost (GE, rework)"/>
    <x v="424"/>
    <s v="05. LINHA 05"/>
    <d v="2026-02-02T15:47:33"/>
    <s v="Moises Costa"/>
    <s v="APROVADORES DE IDEIAS"/>
    <m/>
    <s v="Aguardando Orçamento"/>
    <s v="OPERAÇÃO"/>
  </r>
  <r>
    <s v="FB0133631"/>
    <s v="Vamos Nos Movimentar"/>
    <s v="Rascunho"/>
    <s v="JDE subsidiar inscrições ou parte da inscrição para iniciativas de práticas em competições esportivas. Exemplo: inscrições em corridas de rua, campeonatos de beach tennis, e etc. Interessante se tiver um uniforme para que o associado leve a companhia também para o evento."/>
    <x v="55"/>
    <s v="Pequena mudança local"/>
    <s v="Safety - Health"/>
    <x v="425"/>
    <s v="06. ADMINISTRATIVO"/>
    <d v="2026-07-02T14:14:07"/>
    <m/>
    <s v="APROVADORES DE IDEIAS"/>
    <m/>
    <s v="Rascunho"/>
    <s v="ADM/TÉCNICO/ASSISTENTE/ESTAG."/>
  </r>
  <r>
    <s v="FB0134193"/>
    <s v="Trava da bailarina 4"/>
    <s v="Resolvido"/>
    <s v="Criar uma trava para auxilio na troca de bobina fabrima 4 _x000a_"/>
    <x v="12"/>
    <s v="Pequena mudança local"/>
    <s v="Processo"/>
    <x v="426"/>
    <s v="04. LINHA 04"/>
    <d v="2026-03-12T10:49:36"/>
    <s v="Arthur Silva"/>
    <s v="APROVADORES DE IDEIAS"/>
    <m/>
    <s v="Resolvido"/>
    <s v="ADM/TÉCNICO/ASSISTENTE/ESTAG."/>
  </r>
  <r>
    <s v="FB0134194"/>
    <s v="Trava da bailarina 5 "/>
    <s v="Resolvido"/>
    <s v="Criar uma trava para auxilio na troca de bobina fabrima 5"/>
    <x v="12"/>
    <s v="Pequena mudança local"/>
    <s v="Processo"/>
    <x v="427"/>
    <s v="05. LINHA 05"/>
    <d v="2026-01-30T14:08:03"/>
    <m/>
    <s v="APROVADORES DE IDEIAS"/>
    <m/>
    <s v="Resolvido"/>
    <s v="ADM/TÉCNICO/ASSISTENTE/ESTAG."/>
  </r>
  <r>
    <s v="FB0134195"/>
    <s v="Sensor da caçamba de pelicula com diversas falhas"/>
    <s v="Resolvido"/>
    <s v="Mudar o modelo de sensor e fazer um novo suporte para que não ocorra a leitura de fumaça e fique atuando indevidamente e que nao ocorra a não leitura da pelicula"/>
    <x v="12"/>
    <s v="Pequena mudança local"/>
    <s v="Processo"/>
    <x v="428"/>
    <s v="01. TORRADORES"/>
    <d v="2026-04-14T06:23:47"/>
    <s v="Arthur Silva"/>
    <s v="IDEIAS-PROCESSOS"/>
    <m/>
    <s v="Resolvido"/>
    <s v="ADM/TÉCNICO/ASSISTENTE/ESTAG."/>
  </r>
  <r>
    <s v="FB0134196"/>
    <s v="Arraste da linha 5"/>
    <s v="Resolvido"/>
    <s v="Realizar mudança na confecção do eixo do arraste afim de sanar folgas nos acoplamento e diminuição de quebras provenientes desses acoplamentos, _x000a_Padronização tbm dos motoredutores"/>
    <x v="12"/>
    <s v="Pequena mudança local"/>
    <s v="Cost (GE, rework)"/>
    <x v="429"/>
    <s v="05. LINHA 05"/>
    <d v="2026-01-30T14:08:35"/>
    <m/>
    <s v="APROVADORES DE IDEIAS"/>
    <m/>
    <s v="Resolvido"/>
    <s v="ADM/TÉCNICO/ASSISTENTE/ESTAG."/>
  </r>
  <r>
    <s v="FB0134197"/>
    <s v="Tomadas dos motores do arraste da fabrima 4"/>
    <s v="Fechado"/>
    <s v="Montar tomadas para facil desligamento dos motores do arraste da fabrima 4, (copiar layout da fabrima 5)"/>
    <x v="12"/>
    <s v="Pequena mudança local"/>
    <s v="Processo"/>
    <x v="430"/>
    <s v="04. LINHA 04"/>
    <d v="2026-01-14T13:16:33"/>
    <s v="Arthur Silva"/>
    <s v="APROVADORES DE IDEIAS"/>
    <d v="2026-01-14T13:16:33"/>
    <s v="Fechado"/>
    <s v="ADM/TÉCNICO/ASSISTENTE/ESTAG."/>
  </r>
  <r>
    <s v="FB0135036"/>
    <s v="Instalar um interruptor do lado da porta do almoxarifado "/>
    <s v="Fechado"/>
    <s v="Instalar um interruptor do lado da porta do almoxarifado, pois o que temos fica muito distante da porta, assim podemos ligar e desligar sempre que não tiver ninguém na sala "/>
    <x v="15"/>
    <s v="Pequena mudança local"/>
    <s v="Energy efficiency"/>
    <x v="431"/>
    <s v="06. ADMINISTRATIVO"/>
    <d v="2026-02-10T10:39:39"/>
    <s v="Ana Martins"/>
    <s v="IDEIAS-ADMINISTRATIVO"/>
    <d v="2026-02-10T10:39:39"/>
    <s v="Fechado"/>
    <s v="OPERAÇÃO"/>
  </r>
  <r>
    <s v="FB0135037"/>
    <s v="pedestal fixo "/>
    <s v="Resolvido"/>
    <s v="Pedestal fixo para nosso estoque 3001 e 3003 sendo que 2 metros custa R$603 ,57 "/>
    <x v="15"/>
    <s v="Pequena mudança local"/>
    <s v="Organisation of work"/>
    <x v="432"/>
    <s v="06. ADMINISTRATIVO"/>
    <d v="2026-07-21T10:07:07"/>
    <s v="Sarah Teixeira"/>
    <s v="APROVADORES DE IDEIAS"/>
    <m/>
    <s v="Resolvido"/>
    <s v="OPERAÇÃO"/>
  </r>
  <r>
    <s v="FB0135171"/>
    <s v="CIL Mensal PKD "/>
    <s v="Resolvido"/>
    <s v="Adicionar o ponto de lubrificação na Roda de Mandril - Conforme IT "/>
    <x v="20"/>
    <s v="Pequena mudança local"/>
    <s v="Qualidade"/>
    <x v="433"/>
    <s v="01. LINHA 01"/>
    <d v="2026-06-19T09:49:43"/>
    <m/>
    <s v="IDEIAS-VACUO"/>
    <m/>
    <s v="Resolvido"/>
    <s v="ADM/TÉCNICO/ASSISTENTE/ESTAG."/>
  </r>
  <r>
    <s v="FB0135172"/>
    <s v="CIL Mensal PKD "/>
    <s v="Resolvido"/>
    <s v="Adicionar o ponto de lubrificação na extração de pacotes do mandril "/>
    <x v="20"/>
    <s v="Pequena mudança local"/>
    <s v="Qualidade"/>
    <x v="434"/>
    <s v="01. LINHA 01"/>
    <d v="2026-06-19T09:50:57"/>
    <s v="Thaissa Oliveira"/>
    <s v="IDEIAS-VACUO"/>
    <m/>
    <s v="Resolvido"/>
    <s v="ADM/TÉCNICO/ASSISTENTE/ESTAG."/>
  </r>
  <r>
    <s v="FB0135173"/>
    <s v="CIL Mensal PKD "/>
    <s v="Resolvido"/>
    <s v="Adicionar o ponto de lubrificação das guias dp conjunto de socadores 1 "/>
    <x v="20"/>
    <s v="Pequena mudança local"/>
    <s v="Cost (GE, rework)"/>
    <x v="435"/>
    <s v="01. LINHA 01"/>
    <d v="2026-06-19T09:51:31"/>
    <s v="Thaissa Oliveira"/>
    <s v="IDEIAS-VACUO"/>
    <m/>
    <s v="Resolvido"/>
    <s v="ADM/TÉCNICO/ASSISTENTE/ESTAG."/>
  </r>
  <r>
    <s v="FB0135184"/>
    <s v="CIL Mensal PKD "/>
    <s v="Resolvido"/>
    <s v="Adicionar o ponto de lubrificação  do came e eixo do movimento dos socadores 1"/>
    <x v="20"/>
    <s v="Pequena mudança local"/>
    <s v="Processo"/>
    <x v="436"/>
    <s v="04. EMPACOTAMENTO"/>
    <d v="2026-07-02T14:15:03"/>
    <s v="Moises Costa"/>
    <s v="APROVADORES DE IDEIAS"/>
    <m/>
    <s v="Resolvido"/>
    <s v="ADM/TÉCNICO/ASSISTENTE/ESTAG."/>
  </r>
  <r>
    <s v="FB0135706"/>
    <s v="usa caixas novas pra acender a fornalha "/>
    <s v="Resolvido"/>
    <s v="Poderia usar uma gaiola somente com as caixas de descarte da encaixotadora e com as capas de papelão que vem no pallet de caixas , para acender a fornalha . Operadores de torrador pegam caixas novas para a atividade"/>
    <x v="54"/>
    <s v="Pequena mudança local"/>
    <s v="Cost (GE, rework)"/>
    <x v="437"/>
    <s v="04. EMPACOTAMENTO"/>
    <d v="2026-07-03T10:37:33"/>
    <s v="Valeria Yanez"/>
    <s v="APROVADORES DE IDEIAS"/>
    <m/>
    <s v="Resolvido"/>
    <s v="OPERAÇÃO"/>
  </r>
  <r>
    <s v="FB0135886"/>
    <s v="escada para descer na carreta"/>
    <s v="Cancelado"/>
    <s v="Facilita na descida e na subida "/>
    <x v="63"/>
    <s v="Pequena mudança local"/>
    <s v="Safety - Health"/>
    <x v="438"/>
    <s v="04. LINHA 04"/>
    <d v="2026-02-02T14:51:06"/>
    <m/>
    <s v="APROVADORES DE IDEIAS"/>
    <d v="2026-02-02T14:51:06"/>
    <s v="Cancelado"/>
    <s v="OPERAÇÃO"/>
  </r>
  <r>
    <s v="FB0135902"/>
    <s v="Balança no Refeitório"/>
    <s v="Cancelado"/>
    <s v="Disponibilizar uma balança no refeitório para que os associados que estão em dieta possam pesar a quantidade correta da alimentação."/>
    <x v="55"/>
    <s v="Pequena mudança local"/>
    <s v="Safety - Health"/>
    <x v="439"/>
    <s v="06. ADMINISTRATIVO"/>
    <d v="2026-02-10T09:53:41"/>
    <m/>
    <s v="IDEIAS-ADMINISTRATIVO"/>
    <d v="2026-02-10T09:53:41"/>
    <s v="Cancelado"/>
    <s v="ADM/TÉCNICO/ASSISTENTE/ESTAG."/>
  </r>
  <r>
    <s v="FB0136079"/>
    <s v="Adicionado o carregador de rádio junto ao carregador do tablet na caixa posicionada na linha."/>
    <s v="Fechado"/>
    <s v="Adicionar o carregador do radio na caixa que fica na linha das fabrimas que atualmente contem o carregador do tablet "/>
    <x v="71"/>
    <s v="Pequena mudança local"/>
    <s v="Organisation of work"/>
    <x v="440"/>
    <s v="04. EMPACOTAMENTO"/>
    <d v="2026-02-02T13:36:09"/>
    <m/>
    <s v="APROVADORES DE IDEIAS"/>
    <d v="2026-02-02T13:36:09"/>
    <s v="Fechado"/>
    <s v="ADM/TÉCNICO/ASSISTENTE/ESTAG."/>
  </r>
  <r>
    <s v="FB0136950"/>
    <s v="Alteração lógica de zerar os silos de café verde"/>
    <s v="Resolvido"/>
    <s v="Hoje conseguimos zerar o silo com qualquer quantidade desde que o sensor esteja apagado, porém no dia 21 de janeiro houve uma falha no sensor do silo 16 onde o mesmo apagou e zeraram ele com aproximadamente 6 tons, depois ao jogar café misturou dois componentes diferentes._x000a_A ideia seria mudar a lógica para permitir que zerasse o silo somente com menos de 1 ton quando o sensor estiver apagado, pois quantidades acima deste valor necessitaria de verificação eletrônica._x000a_Está ideia pode ser executado internamente com nosso técnico eletrônico Igor Santos."/>
    <x v="76"/>
    <s v="Pequena mudança local"/>
    <s v="Yeld"/>
    <x v="441"/>
    <s v="01. CAFÉ CRU"/>
    <d v="2026-02-09T10:32:28"/>
    <m/>
    <s v="IDEIAS-CAFÉ CRÚ"/>
    <m/>
    <s v="Resolvido"/>
    <s v="OPERAÇÃO"/>
  </r>
  <r>
    <s v="FB0137281"/>
    <s v="Apalpador de Cordão"/>
    <s v="Em andamento"/>
    <s v="Sugiro fazer a replicação do modelo de apalpador do tipo cordão para resolver o café na solda, visto que já é utilizado nas plantas de jundiai e Salvador demonstrando grande eficácia visto que esse é a solução para nossos grandes impactos P18"/>
    <x v="14"/>
    <s v="Pequena mudança local"/>
    <s v="Cost (GE, rework)"/>
    <x v="442"/>
    <s v="04. EMPACOTAMENTO"/>
    <d v="2026-04-23T09:22:29"/>
    <s v="Ruth Ribeiro"/>
    <s v="APROVADORES DE IDEIAS"/>
    <m/>
    <s v="Aguardando material "/>
    <s v="OPERAÇÃO"/>
  </r>
  <r>
    <s v="FB0137691"/>
    <s v="Troca do conjunto do dobrador de abas inferior "/>
    <s v="Resolvido"/>
    <s v="Realizar a troca do conjunto do dobrador de abas inferior, gerando melhoria evitando a quebra do cilindro, visto que o cilindro rotativo, quebrava com frequência, trocando para um cilindro linear duplo esse problema será solucionado. "/>
    <x v="39"/>
    <s v="Pequena mudança local"/>
    <s v="Processo"/>
    <x v="443"/>
    <s v="01. LINHA 01"/>
    <d v="2026-06-16T11:18:19"/>
    <m/>
    <s v="IDEIAS-VACUO"/>
    <m/>
    <s v="Resolvido"/>
    <s v="ADM/TÉCNICO/ASSISTENTE/ESTAG."/>
  </r>
  <r>
    <s v="FB0137791"/>
    <s v="colocar espelhos confesso "/>
    <s v="Em andamento"/>
    <s v="Colocar espelhos confessos nos portões onde passamos com as empilhadeiras assim. Temos uma boa visibilidade e colocar dos dois lados ( pesquisei o custo e no mercado livre sai a R$160.00 cada ) "/>
    <x v="15"/>
    <s v="Pequena mudança local"/>
    <s v="Safety - Health"/>
    <x v="444"/>
    <s v="09.19 SALA DE PRODUTOS QUÍMICOS "/>
    <d v="2026-07-28T16:44:44"/>
    <m/>
    <s v="APROVADORES DE IDEIAS"/>
    <m/>
    <s v="Aguardando Orçamento"/>
    <s v="OPERAÇÃO"/>
  </r>
  <r>
    <s v="FB0137862"/>
    <s v="Padronização dos batentes "/>
    <s v="Resolvido"/>
    <s v="Padronizar os batentes das fabrimas 2 e 3 igual os batentes das fabrimas 4 e 5. Pois os batentes da 4 e 5 são mais reforçados e robustos _x000a__x000a_Anexo orçamento"/>
    <x v="27"/>
    <s v="Pequena mudança local"/>
    <s v="Safety - Health"/>
    <x v="445"/>
    <s v="04. EMPACOTAMENTO"/>
    <d v="2026-05-22T13:52:02"/>
    <s v="Fabio A Oliveira"/>
    <s v="APROVADORES DE IDEIAS"/>
    <m/>
    <s v="Resolvido"/>
    <s v="OPERAÇÃO"/>
  </r>
  <r>
    <s v="FB0137866"/>
    <s v="Instalação de sinal de alerta luminoso "/>
    <s v="Cancelado"/>
    <s v="Colocar um sinal de alerta luminoso no portão de saída do café cru para o almoxarifado. Devido ao movimento de empilhadeira e fluxo de pessoas passando pelo mesmo local"/>
    <x v="27"/>
    <s v="Pequena mudança local"/>
    <s v="Safety - Health"/>
    <x v="446"/>
    <s v="01. CAFÉ CRU"/>
    <d v="2026-02-10T14:43:26"/>
    <m/>
    <s v="IDEIAS-CAFÉ CRÚ"/>
    <d v="2026-02-10T14:43:26"/>
    <s v="Cancelado"/>
    <s v="OPERAÇÃO"/>
  </r>
  <r>
    <s v="FB0137868"/>
    <s v="Instalação de sinalização luminosa "/>
    <s v="Resolvido"/>
    <s v="Instalação de sinalização luminosa no portão do café cru com sensor no portão igual exemplo sugerido na foto anexada a cima._x000a__x000a_SHE: Aprovado. Deve ser um sinal sonoro audível e luminoso."/>
    <x v="27"/>
    <s v="Pequena mudança local"/>
    <s v="Safety - Health"/>
    <x v="447"/>
    <s v="09.19 SALA DE PRODUTOS QUÍMICOS "/>
    <d v="2026-07-08T10:28:47"/>
    <s v="Flavia Silveira"/>
    <s v="APROVADORES DE IDEIAS"/>
    <m/>
    <s v="Resolvido"/>
    <s v="OPERAÇÃO"/>
  </r>
  <r>
    <s v="FB0138029"/>
    <s v="Alterar café da manhã do adm"/>
    <s v="Fechado"/>
    <s v="Alternar um dia do café da manhã especial para pão de queijo e manter  o outro com presunto e queijo como já é."/>
    <x v="17"/>
    <s v="Pequena mudança local"/>
    <s v="Cost (GE, rework)"/>
    <x v="448"/>
    <s v="09.17 REFEITÓRIO"/>
    <d v="2026-02-11T10:37:54"/>
    <s v="Ana Pereira"/>
    <s v="IDEIAS-ADMINISTRATIVO"/>
    <d v="2026-02-11T10:37:54"/>
    <s v="Fechado"/>
    <s v="ADM/TÉCNICO/ASSISTENTE/ESTAG."/>
  </r>
  <r>
    <s v="FB0138050"/>
    <s v="fazer estrutura para que não pare pó na parede ao lado da fornalha "/>
    <s v="Em andamento"/>
    <s v="fazer estrutura para que não pare pó na parede ao lado da fornalha_x000a__x000a_SHE: Aprovado. Sugestão abrir uma MOC e TAP para entender a melhor solução de engenharia."/>
    <x v="12"/>
    <s v="Pequena mudança local"/>
    <s v="Qualidade"/>
    <x v="449"/>
    <s v="09.19 SALA DE PRODUTOS QUÍMICOS "/>
    <d v="2026-04-09T12:09:43"/>
    <s v="Ruth Ribeiro"/>
    <s v="IDEIAS-SHE"/>
    <m/>
    <s v="Aguardando MOC"/>
    <s v="ADM/TÉCNICO/ASSISTENTE/ESTAG."/>
  </r>
  <r>
    <s v="FB0138051"/>
    <s v="fazer um claviculário de segurança com as chaves das escadas marinheiro no alarme de incêndio "/>
    <s v="Cancelado"/>
    <s v="Fazer um claviculário de segurança com as chaves das escadas marinheiro no alarme de incêndio._x000a__x000a_SHE: Reprovado claviculário. Desenvolver um sistema de rompimento.  Não pode ser um acesso livre as chaves. Abrir outra idea com o sistema de parecido com o &quot;em caso de emergência quebre aqui&quot;."/>
    <x v="12"/>
    <s v="Pequena mudança local"/>
    <s v="Safety - Health"/>
    <x v="450"/>
    <s v="09.19 SALA DE PRODUTOS QUÍMICOS "/>
    <d v="2026-03-17T15:37:41"/>
    <m/>
    <s v="IDEIAS-SHE"/>
    <d v="2026-03-17T15:37:41"/>
    <s v="Cancelado"/>
    <s v="ADM/TÉCNICO/ASSISTENTE/ESTAG."/>
  </r>
  <r>
    <s v="FB0138260"/>
    <s v="pressão das correias de arraste "/>
    <s v="Em andamento"/>
    <s v="Incluir no CL a verificação da pressão das correias de arraste das fábricas , alguns  problemas na selagem vertical do pacote , está associada a pressão das correias, onde a manutenção tem que fazer a inspeção e realizar ajustes , se estiver dentro do CL diário , fica mais fácil para a operação identificar problemas relacionados a pressão "/>
    <x v="19"/>
    <s v="Pequena mudança local"/>
    <s v="Processo"/>
    <x v="451"/>
    <s v="05. LINHA 05"/>
    <d v="2026-04-16T16:02:43"/>
    <s v="Moises Costa"/>
    <s v="APROVADORES DE IDEIAS"/>
    <m/>
    <s v="Aguardando Execução "/>
    <s v="OPERAÇÃO"/>
  </r>
  <r>
    <s v="FB0138274"/>
    <s v="retirar limpeza não apta dos colaboradores "/>
    <s v="Resolvido"/>
    <s v="(LATERAL SILOS DE GRÃO_x000a_LATERAL SILOS DE PÓ )_x000a_Essas limpezas são apenas as pessoas das brazanitas que realizam essa limpeza com espanador de pó ajustado pra tal altura."/>
    <x v="74"/>
    <s v="Pequena mudança local"/>
    <s v="Processo"/>
    <x v="452"/>
    <s v="04. LINHA 04"/>
    <d v="2026-06-26T05:40:53"/>
    <s v="Thaissa Oliveira"/>
    <s v="APROVADORES DE IDEIAS"/>
    <m/>
    <s v="Resolvido"/>
    <s v="OPERAÇÃO"/>
  </r>
  <r>
    <s v="FB0138839"/>
    <s v="Batente para as gaiolas de reciclagem "/>
    <s v="Resolvido"/>
    <s v="Batente para evitar as colisões nos alambrados evitando danificações na estrutura _x000a__x000a_SHE: aprovado."/>
    <x v="47"/>
    <s v="Pequena mudança local"/>
    <s v="Safety - Health"/>
    <x v="453"/>
    <s v="09.19 SALA DE PRODUTOS QUÍMICOS "/>
    <d v="2026-05-11T10:50:09"/>
    <m/>
    <s v="IDEIAS-SHE"/>
    <m/>
    <s v="Resolvido"/>
    <s v="OPERAÇÃO"/>
  </r>
  <r>
    <s v="FB0138873"/>
    <s v="Placas de identificação robôs e Strechadeira "/>
    <s v="Em andamento"/>
    <s v="Placas para identificação visual nos robôs Fabrimas 2 e 3, Maq. 4, PKD e Strechadeira para melhor entendimento de visitantes e associados novos_x000a__x000a__x000a_Feito por Fabio Antônio e Carlos Eugênio "/>
    <x v="77"/>
    <s v="Pequena mudança local"/>
    <s v="Organisation of work"/>
    <x v="454"/>
    <s v="08. LOGISTICA"/>
    <d v="2026-05-28T12:11:31"/>
    <s v="Fabio A Oliveira"/>
    <s v="IDEIAS-LOGÍSTICA"/>
    <m/>
    <s v="Aguardando Orçamento"/>
    <s v="OPERAÇÃO"/>
  </r>
  <r>
    <s v="FB0139173"/>
    <s v="Robôs "/>
    <s v="Cancelado"/>
    <s v="Sugiro que para facilitar na limpeza do chão do robô ao executar o CIl mensal que possam fornecer um rodo com esponja fixa para limpar o chão e rodo para limpar o chão "/>
    <x v="23"/>
    <s v="Pequena mudança local"/>
    <s v="Organisation of work"/>
    <x v="455"/>
    <s v="01. JDE CAFES DO BRASIL UNIDADE PIUMHI"/>
    <d v="2026-05-01T13:05:38"/>
    <m/>
    <s v="IDEIAS-MELHORIA CONTÍNUA"/>
    <d v="2026-05-01T13:05:38"/>
    <s v="Cancelado"/>
    <s v="OPERAÇÃO"/>
  </r>
  <r>
    <s v="FB0139192"/>
    <s v="Rolete do robô onde fica o acomodador "/>
    <s v="Rascunho"/>
    <s v="Por ser local de difícil acesso acaba que também tem fonte de contaminação e fica difícil de limpar, para facilitar a limpeza gostaria que providenciasse uma escova com cabo para facilitar na limpeza "/>
    <x v="23"/>
    <s v="Pequena mudança local"/>
    <s v="Organisation of work"/>
    <x v="456"/>
    <s v="04. EMPACOTAMENTO"/>
    <d v="2026-07-02T14:18:26"/>
    <m/>
    <s v="APROVADORES DE IDEIAS"/>
    <m/>
    <s v="Rascunho"/>
    <s v="OPERAÇÃO"/>
  </r>
  <r>
    <s v="FB0139195"/>
    <s v="cabos da esteira"/>
    <s v="Cancelado"/>
    <s v="Cabos da esteira sem proteção, podendo colocar proteções._x000a__x000a_SHE: Risco baixo. Custo elevado. Para o momento não é interessante esta ideia. Reprovado."/>
    <x v="78"/>
    <s v="Pequena mudança local"/>
    <s v="Safety - Health"/>
    <x v="457"/>
    <s v="09.19 SALA DE PRODUTOS QUÍMICOS "/>
    <d v="2026-03-17T15:54:29"/>
    <m/>
    <s v="IDEIAS-SHE"/>
    <d v="2026-03-17T15:54:29"/>
    <s v="Cancelado"/>
    <s v="OPERAÇÃO"/>
  </r>
  <r>
    <s v="FB0139595"/>
    <s v="alteração não permitida de velocidade "/>
    <s v="Cancelado"/>
    <s v="Verificar com a manutenção ou engenharia se seria possível bloquear o parâmetro de aumento velocidade da máquina. Um turno está trabalhando com a máquina em velocidade acima do permitido em todos os dias."/>
    <x v="72"/>
    <s v="Pequena mudança local"/>
    <s v="Processo"/>
    <x v="458"/>
    <s v="01. LINHA 01"/>
    <d v="2026-03-31T09:16:40"/>
    <m/>
    <s v="IDEIAS-VACUO"/>
    <d v="2026-03-31T09:16:41"/>
    <s v="Cancelado"/>
    <s v="OPERAÇÃO"/>
  </r>
  <r>
    <s v="FB0139843"/>
    <s v="facilita o acesso aos bojos sem a necessidade de PT"/>
    <s v="Em andamento"/>
    <s v="A ideia inicial é melhoria ao acesso dos bojos dos moinhos, 1ao 6_x000a_Nas imagens a cima vemos a dificuldade dos operadores e da manutenção poder ter acesso a escada _x000a_Todas as escadas marinheiras nos moinhos, estão num local que dificulta o trabalho da manutenção e das limpezas fim de mês_x000a_Muitas das vezes o trabalho é a limpeza que é necessário fazer gasta muito tempo por conta da abertura da PT_x000a_Dificulta o trabalho da manutenção ao retirar ou remover peças ou motores com vazamento ou sem funcionamento, pior quando precisa subir com peças _x000a_Muitas atividades nos bojo são falha menores como RP, falha nos micro, válvulas de fechamento, mangueira de ar comprimido com vazamento ou necessário fazer limpeza _x000a_Melhoria ( fazer uma plataforma onde podemos ter o acesso mais Rápido e fácil dos bojos ou fazer uma escada usando a plataforma das roscas de transporte) vimos um local onde poderia ter essa escada assim como outros locais ( com isso fazer a retirada das escadas marinheiras dos moinhos 1ao 6)"/>
    <x v="28"/>
    <s v="Grande mudança local"/>
    <s v="Safety - Health"/>
    <x v="459"/>
    <s v="03. MOAGEM"/>
    <d v="2026-04-20T18:19:27"/>
    <m/>
    <s v="IDEIAS-PROCESSOS"/>
    <m/>
    <s v="Aguardando Aprovação de CAPEX"/>
    <s v="OPERAÇÃO"/>
  </r>
  <r>
    <s v="FB0140119"/>
    <s v="Feedback"/>
    <s v="Cancelado"/>
    <s v="As baterias são seladas e liberadas para estarem em locais fechados"/>
    <x v="41"/>
    <s v="Pequena mudança local"/>
    <s v="Safety - Health"/>
    <x v="460"/>
    <s v="01. JDE CAFES DO BRASIL UNIDADE PIUMHI"/>
    <d v="2026-06-29T11:30:06"/>
    <m/>
    <s v="APROVADORES DE IDEIAS"/>
    <d v="2026-06-29T11:30:06"/>
    <s v="Cancelado"/>
    <s v="ADM/TÉCNICO/ASSISTENTE/ESTAG."/>
  </r>
  <r>
    <s v="FB0140133"/>
    <s v="quadro de  lototo para os elevadores "/>
    <s v="Em andamento"/>
    <s v="Um quadro de bloqueio para os elevadores da moagem ,facilitando o trabalho da manutençãoe dos operadores "/>
    <x v="3"/>
    <s v="Pequena mudança local"/>
    <s v="Safety - Health"/>
    <x v="461"/>
    <s v="09.19 SALA DE PRODUTOS QUÍMICOS "/>
    <d v="2026-03-06T10:59:53"/>
    <s v="Guilherme Oliveira"/>
    <s v="IDEIAS-SHE"/>
    <m/>
    <s v="Aguardando Execução "/>
    <s v="OPERAÇÃO"/>
  </r>
  <r>
    <s v="FB0140292"/>
    <s v="velocidade correia Fab 5"/>
    <s v="Resolvido"/>
    <s v="Velocidade da correia foi alterado estava 55% e foi para 52%._x000a_Manutentor alterou parâmetro para melhor desempenho. Ajustar range entre 50% e 55%_x000a_"/>
    <x v="25"/>
    <s v="Pequena mudança local"/>
    <s v="Processo"/>
    <x v="462"/>
    <s v="05. LINHA 05"/>
    <d v="2026-04-16T15:53:06"/>
    <m/>
    <s v="APROVADORES DE IDEIAS"/>
    <m/>
    <s v="Resolvido"/>
    <s v="OPERAÇÃO"/>
  </r>
  <r>
    <s v="FB0140345"/>
    <s v="carrinho gaiola menor"/>
    <s v="Cancelado"/>
    <s v="Carrinho gaiola,para colocar caixa de papelão usada para start dos torradores "/>
    <x v="48"/>
    <s v="Pequena mudança local"/>
    <s v="Processo"/>
    <x v="463"/>
    <s v="01. LINHA 01"/>
    <d v="2026-03-16T15:13:41"/>
    <m/>
    <s v="IDEIAS-VACUO"/>
    <d v="2026-03-16T15:13:41"/>
    <s v="Cancelado"/>
    <s v="OPERAÇÃO"/>
  </r>
  <r>
    <s v="FB0140646"/>
    <s v="Instalação de televisão no container "/>
    <s v="Resolvido"/>
    <s v="Instalação da televisão que se encontra sem uso no ADM para o container de manufatura, especificamente encima do armario de MDF "/>
    <x v="71"/>
    <s v="Pequena mudança local"/>
    <s v="Cost (GE, rework)"/>
    <x v="464"/>
    <s v="06. ADMINISTRATIVO"/>
    <d v="2026-07-06T10:25:50"/>
    <m/>
    <s v="APROVADORES DE IDEIAS"/>
    <m/>
    <s v="Resolvido"/>
    <s v="ADM/TÉCNICO/ASSISTENTE/ESTAG."/>
  </r>
  <r>
    <s v="FB0140765"/>
    <s v="colocar uma tomada"/>
    <s v="Resolvido"/>
    <s v="Colocar tomada próximo ao Nederman "/>
    <x v="48"/>
    <s v="Pequena mudança local"/>
    <s v="Product"/>
    <x v="465"/>
    <s v="01. LINHA 01"/>
    <d v="2026-04-02T11:30:40"/>
    <m/>
    <s v="IDEIAS-VACUO"/>
    <m/>
    <s v="Resolvido"/>
    <s v="OPERAÇÃO"/>
  </r>
  <r>
    <s v="FB0140775"/>
    <s v="Esteira 9 Fardos "/>
    <s v="Cancelado"/>
    <s v="Esteira 9 transportes de fardos ao passar fardo, no sensor da etiquetadora a esteira não para e fica saindo muitas etiquetas e cai no chão, mesmo mudando a posição do sensor da etiqueta, a minha sugestão é colocar um sensor no começo da esteira para a esteira parar e não ficar no rumo do sensor da etiquetadora"/>
    <x v="23"/>
    <s v="Pequena mudança local"/>
    <s v="Processo"/>
    <x v="466"/>
    <s v="01. JDE CAFES DO BRASIL UNIDADE PIUMHI"/>
    <d v="2026-05-11T11:56:39"/>
    <m/>
    <s v="IDEIAS-MELHORIA CONTÍNUA"/>
    <d v="2026-05-11T11:56:39"/>
    <s v="Cancelado"/>
    <s v="OPERAÇÃO"/>
  </r>
  <r>
    <s v="FB0140902"/>
    <s v="lubrificação da válvula do testador de vácuo"/>
    <s v="Cancelado"/>
    <s v="Fazer lubrificação mensal na válvula do testador de vácuo"/>
    <x v="48"/>
    <s v="Pequena mudança local"/>
    <s v="Processo"/>
    <x v="467"/>
    <s v="01. LINHA 01"/>
    <d v="2026-03-13T16:54:51"/>
    <m/>
    <s v="IDEIAS-VACUO"/>
    <d v="2026-03-13T16:54:51"/>
    <s v="Cancelado"/>
    <s v="OPERAÇÃO"/>
  </r>
  <r>
    <s v="FB0141630"/>
    <s v="Padronização das conexões e mangueiras de todos os moinhos "/>
    <s v="Resolvido"/>
    <s v="Padronização das conexões e mangueiras de todos os moinhos _x000a_Será necessario a compra de conexões rosca 3/8, com entrada para mangueira 3/8, Ao todo serão 150 conexões, 50 metros de mangueira 3/8 para agua._x000a_Programar um mecânico 1 turno para realização da troca _x000a_"/>
    <x v="12"/>
    <s v="Pequena mudança local"/>
    <s v="Meio Ambiente"/>
    <x v="468"/>
    <s v="03. MOAGEM"/>
    <d v="2026-07-03T09:44:19"/>
    <m/>
    <s v="APROVADORES DE IDEIAS"/>
    <m/>
    <s v="Resolvido"/>
    <s v="ADM/TÉCNICO/ASSISTENTE/ESTAG."/>
  </r>
  <r>
    <s v="FB0142655"/>
    <s v="Leite no café da tarde"/>
    <s v="Resolvido"/>
    <s v="Ideia do Ednaldo: Ter a opção de leite também no café da tarde, ao invés de ter somente a opção de suco."/>
    <x v="26"/>
    <s v="Pequena mudança local"/>
    <s v="Organisation of work"/>
    <x v="469"/>
    <s v="09.17 REFEITÓRIO"/>
    <d v="2026-03-23T11:40:53"/>
    <s v="Ana Pereira"/>
    <s v="IDEIAS-ADMINISTRATIVO"/>
    <m/>
    <s v="Resolvido"/>
    <s v="ADM/TÉCNICO/ASSISTENTE/ESTAG."/>
  </r>
  <r>
    <s v="FB0142828"/>
    <s v="CABIDE PARA ROUPAS"/>
    <s v="Resolvido"/>
    <s v="Instalar cabides para roupas, dentro do box. Não tem onde pendurar a roupa suja e a toalha. "/>
    <x v="44"/>
    <s v="Pequena mudança local"/>
    <s v="Organisation of work"/>
    <x v="470"/>
    <s v="06. ADMINISTRATIVO"/>
    <d v="2026-07-29T15:47:33"/>
    <s v="Ana Pereira"/>
    <s v="APROVADORES DE IDEIAS"/>
    <m/>
    <s v="Resolvido"/>
    <s v="ADM/TÉCNICO/ASSISTENTE/ESTAG."/>
  </r>
  <r>
    <s v="FB0142829"/>
    <s v="TAPETE ANTIDERRAPANTE"/>
    <s v="Em andamento"/>
    <s v="Verificar possibilidade de adquirir um tapete antiderrapante para a área dos chuveiros. O tapete atual é de plástico e quando molha o chão ele fica extremamete escorregadio. "/>
    <x v="44"/>
    <s v="Pequena mudança local"/>
    <s v="Organisation of work"/>
    <x v="471"/>
    <s v="06. ADMINISTRATIVO"/>
    <d v="2026-03-23T12:44:19"/>
    <s v="Ana Pereira"/>
    <s v="IDEIAS-ADMINISTRATIVO"/>
    <m/>
    <s v="Aguardando Orçamento"/>
    <s v="ADM/TÉCNICO/ASSISTENTE/ESTAG."/>
  </r>
  <r>
    <s v="FB0143304"/>
    <s v="Solicitação de isenção da taxa de lixo junto à prefeitura, considerando que a empresa realiza descarte de resíduos por empresa especializada."/>
    <s v="Resolvido"/>
    <s v="*Ideia da Jéssica Begalli - Segurpro*_x000a_Atualmente, a unidade realiza o gerenciamento completo de seus resíduos por meio de empresa especializada, não utilizando o serviço público de coleta de lixo nem encaminhando resíduos para aterro sanitário municipal._x000a_Diante disso, sugere-se iniciar tratativas com a prefeitura de Piumhi para solicitar a isenção da taxa de lixo cobrada na conta de água, apresentando documentação comprobatória do correto descarte ambiental._x000a_A ação está alinhada com práticas de sustentabilidade e gestão eficiente de custos, além de evitar pagamento indevido por um serviço não utilizado."/>
    <x v="43"/>
    <s v="Pequena mudança local"/>
    <s v="Cost (GE, rework)"/>
    <x v="472"/>
    <s v="06. ADMINISTRATIVO"/>
    <d v="2026-07-02T14:19:56"/>
    <s v="Samuel Camargos"/>
    <s v="APROVADORES DE IDEIAS"/>
    <m/>
    <s v="Resolvido"/>
    <s v="ADM/TÉCNICO/ASSISTENTE/ESTAG."/>
  </r>
  <r>
    <s v="FB0143318"/>
    <s v="colocar botão de emergência "/>
    <s v="Em andamento"/>
    <s v="Falta um botão de emergência caso necessite em alguma emergência. Único meio de parar a esteira é nos botões de emergência da encaixotadora que fica a mais de 3 metros da esteira"/>
    <x v="72"/>
    <s v="Pequena mudança local"/>
    <s v="Safety - Health"/>
    <x v="473"/>
    <s v="09.19 SALA DE PRODUTOS QUÍMICOS "/>
    <d v="2026-05-07T09:00:45"/>
    <s v="Guilherme Oliveira"/>
    <s v="IDEIAS-SHE"/>
    <m/>
    <s v="Aguardando Aprovação de CAPEX"/>
    <s v="OPERAÇÃO"/>
  </r>
  <r>
    <s v="FB0143447"/>
    <s v="Mudança da posição da malha da peneira "/>
    <s v="Em andamento"/>
    <s v="Hoje as abas da peneira vibratória estão na horizontal, isso faz com que acumule café nas laterais, duas vezes por semana é feita a limpeza e todo acumulo de café vai para o descarte. Minha proposta é colocar as abas verticais ou o máximo possível  para durante o processo não acumular tanto café e ao abrir para realizar a limpeza reduzir o descarte. _x000a__x000a_DICA: ADIÇÃO DA CHAPA MÓVEL PARA FACILITAR LIMPEZA E EVITAR O DESCARTE DE CAFÉ, SERÁ ANEXADO UMA IMAGEM PARA FACILITAR A COMPREEÇÃO."/>
    <x v="41"/>
    <s v="Pequena mudança local"/>
    <s v="Processo"/>
    <x v="474"/>
    <s v="04. EMPACOTAMENTO"/>
    <d v="2026-06-30T11:57:24"/>
    <s v="Anderson Santana"/>
    <s v="APROVADORES DE IDEIAS"/>
    <m/>
    <s v="Aguardando Aprovação de CAPEX"/>
    <s v="ADM/TÉCNICO/ASSISTENTE/ESTAG."/>
  </r>
  <r>
    <s v="FB0143448"/>
    <s v="Reprocesso do café das peneiras rotativas"/>
    <s v="Rascunho"/>
    <s v="Atualmente os carrinhos de rejeito da peneira rotativa são de aço carbono. A ideia é tornar os carrinhos de aço inox e reprocessa-los. _x000a_Em JDI este café já é reprocessado. "/>
    <x v="41"/>
    <s v="Pequena mudança local"/>
    <s v="Yeld"/>
    <x v="475"/>
    <s v="03. MOAGEM"/>
    <d v="2026-07-02T14:20:47"/>
    <m/>
    <s v="APROVADORES DE IDEIAS"/>
    <m/>
    <s v="Rascunho"/>
    <s v="ADM/TÉCNICO/ASSISTENTE/ESTAG."/>
  </r>
  <r>
    <s v="FB0143722"/>
    <s v="pontos para ancoragem ( distribuidores 1-2e3 )"/>
    <s v="Em andamento"/>
    <s v="Ao realizar limpeza , tem uma dificuldade para fazer a ancoragem do talabarte , utilizando pontos não apropriados, usando um ferro q prende os distribuidores, podendo vir a danificar , sendo que os bojos dos distribuidores, são acima das grades de proteções, a ideia seria colocar alças ou barras de ferro onde fica seguro e acessível para fazer essa ancoragem _x000a_She irá realizar o orçamento com estimativa de R$20.000"/>
    <x v="19"/>
    <s v="Pequena mudança local"/>
    <s v="Safety - Health"/>
    <x v="476"/>
    <s v="10. DISTRIBUIDORES"/>
    <d v="2026-05-08T10:45:15"/>
    <s v="Guilherme Oliveira"/>
    <s v="IDEIAS-PROCESSOS"/>
    <m/>
    <s v="Aguardando Aprovação de CAPEX"/>
    <s v="OPERAÇÃO"/>
  </r>
  <r>
    <s v="FB0143738"/>
    <s v="acompanhamento das preventivas das fabrimas  "/>
    <s v="Em andamento"/>
    <s v="O time fica  sem informação das ações feitas ou aplicadas nas fabrimas na atividade da manutenção preventiva, ficaria mais claro se tivesse na linha ou no contêiner as ordens desse serviço , para o time operacional ficar mais informado sobre as ações e melhorias aplicadas "/>
    <x v="19"/>
    <s v="Pequena mudança local"/>
    <s v="Processo"/>
    <x v="477"/>
    <s v="05. LINHA 05"/>
    <d v="2026-04-30T16:07:46"/>
    <s v="Anderson Santana"/>
    <s v="APROVADORES DE IDEIAS"/>
    <m/>
    <s v="Aguardando Execução "/>
    <s v="OPERAÇÃO"/>
  </r>
  <r>
    <s v="FB0143894"/>
    <s v="Smart Cablevey"/>
    <s v="Em andamento"/>
    <s v="Deixar o próprio cablevey se auto ajustar quanto a capacidade de acordo com a corrente de trabalho._x000a_Será utilizado um servo com feedback para realizar a melhoria, fazendo o ajuste de corrente do motor de acordo com a vazão_x000a__x000a_0 Quebras_x000a_Tempo de máquina rodando maior_x000a_Melhorar o GE_x000a__x000a_Custo estimado de 15-20 mil por cablevey._x000a_Foco inicial 2.1 e 2.2_x000a__x000a__x000a_Integrantes:_x000a_Igor Sousa_x000a_Fabio Coelho_x000a_André Costa"/>
    <x v="79"/>
    <s v="Pequena mudança local"/>
    <s v="Cost (GE, rework)"/>
    <x v="478"/>
    <s v="03. CABLEVEY"/>
    <d v="2026-04-20T18:06:01"/>
    <s v="Andre Mendes Costa"/>
    <s v="IDEIAS-PROCESSOS"/>
    <m/>
    <s v="Aguardando Aprovação de CAPEX"/>
    <s v="ADM/TÉCNICO/ASSISTENTE/ESTAG."/>
  </r>
  <r>
    <s v="FB0144237"/>
    <s v="PPRO digital."/>
    <s v="Em andamento"/>
    <s v="Passar para o digital facilitando as informações."/>
    <x v="78"/>
    <s v="Pequena mudança local"/>
    <s v="Qualidade"/>
    <x v="479"/>
    <s v="02. LINHA 02"/>
    <d v="2026-04-20T18:27:36"/>
    <s v="Alice Morais"/>
    <s v="APROVADORES DE IDEIAS"/>
    <m/>
    <s v="Aguardando Execução "/>
    <s v="OPERAÇÃO"/>
  </r>
  <r>
    <s v="FB0144238"/>
    <s v="tendência com senha "/>
    <s v="Cancelado"/>
    <s v="Colocar senha no parâmetro de tendência para evitarem de fazer alterações."/>
    <x v="78"/>
    <s v="Pequena mudança local"/>
    <s v="Product"/>
    <x v="480"/>
    <s v="02. LINHA 02"/>
    <d v="2026-05-11T11:59:10"/>
    <m/>
    <s v="APROVADORES DE IDEIAS"/>
    <d v="2026-05-11T11:59:10"/>
    <s v="Cancelado"/>
    <s v="OPERAÇÃO"/>
  </r>
  <r>
    <s v="FB0144885"/>
    <s v="Melhoria na caida da pelicula "/>
    <s v="Em andamento"/>
    <s v="Pessoas envolvidas: Arthur, Lucas Obrien, Lucas Carvalho, Jader Costa_x000a_Sera necessario avaliação do Tiago Carvalho em loco para validação da ideia._x000a_Será feito uma mudança no bocal de saida da pelicula na rosca de pelicula dos torradores._x000a_Inicialmente a ideia e diminuir o bocal e fazer uma nova grade para que não haja risco de obstrução da rosca por esquecimento de troca da caçamba._x000a_A confecção sera feita internamente, com custos minimos de tempo de manutenção._x000a_ "/>
    <x v="12"/>
    <s v="Pequena mudança local"/>
    <s v="Cost (GE, rework)"/>
    <x v="481"/>
    <s v="09.19 SALA DE PRODUTOS QUÍMICOS "/>
    <d v="2026-05-08T14:11:09"/>
    <s v="Jhonnathan Pereira"/>
    <s v="IDEIAS-SHE"/>
    <m/>
    <s v="Aguardando Validação"/>
    <s v="ADM/TÉCNICO/ASSISTENTE/ESTAG."/>
  </r>
  <r>
    <s v="FB0144987"/>
    <s v="melhoria para o MOP"/>
    <s v="Resolvido"/>
    <s v="Incluir opção pra digitação pra busca, facilitando justificar as paradas mais rápido "/>
    <x v="74"/>
    <s v="Pequena mudança local"/>
    <s v="Processo"/>
    <x v="482"/>
    <s v="04. EMPACOTAMENTO"/>
    <d v="2026-06-09T15:06:21"/>
    <s v="Relton Moraes"/>
    <s v="APROVADORES DE IDEIAS"/>
    <m/>
    <s v="Resolvido"/>
    <s v="OPERAÇÃO"/>
  </r>
  <r>
    <s v="FB0145106"/>
    <s v="Programa de Aceleração de Performance e Liderança Estratégica "/>
    <s v="Rascunho"/>
    <s v="Implementar um programa de mentoria e desenvolvimento para analistas e assistentes focado em competências críticas para o próximo nível de crescimento da empresa. O programa abrange:_x000a__x000a_Eficiência Operacional: Gestão de tempo, produtividade e simplificação de processos._x000a__x000a_Inteligência Comportamental: Gestão emocional, resiliência e comunicação assertiva._x000a__x000a_Alinhamento Estratégico: Visão ampla do negócio, conectando a execução diária à estratégia macro da companhia._x000a__x000a_Qual problema essa ideia resolve?_x000a_O programa visa reduzir o &quot;ruído&quot; e o retrabalho causados por falhas de comunicação e processos complexos. Combate o esgotamento através da gestão emocional, transformando colaboradores operacionais em profissionais com visão de dono e foco em resultados estratégicos. "/>
    <x v="41"/>
    <s v="Grande mudança local"/>
    <s v="Organisation of work"/>
    <x v="483"/>
    <s v="06. ADMINISTRATIVO"/>
    <d v="2026-07-02T14:21:20"/>
    <m/>
    <s v="APROVADORES DE IDEIAS"/>
    <m/>
    <s v="Rascunho"/>
    <s v="ADM/TÉCNICO/ASSISTENTE/ESTAG."/>
  </r>
  <r>
    <s v="FB0145184"/>
    <s v="Vídeo informativo preenchimento de formulário "/>
    <s v="Resolvido"/>
    <s v="Minha idade para melhores informações , sobre o preenchimento de formulário . Fazer _x000a_Vídeo informativo para , o melhor preenchimento de formulário. Isso ajudaria os operadores  novos na linha._x000a_ fazendo isso teremos maio aproveito das informações . _x000a_aprendizado mas rápido  ,pois  o operador pode assistir e estuda o vídeo na dúvida . "/>
    <x v="80"/>
    <s v="Pequena mudança local"/>
    <s v="Cost (GE, rework)"/>
    <x v="484"/>
    <s v="04. EMPACOTAMENTO"/>
    <d v="2026-06-09T15:07:02"/>
    <s v="Valeria Yanez"/>
    <s v="APROVADORES DE IDEIAS"/>
    <m/>
    <s v="Resolvido"/>
    <s v="OPERAÇÃO"/>
  </r>
  <r>
    <s v="FB0145185"/>
    <s v="adicionar uma ferramenta para medir a quantidade da cola "/>
    <s v="Em andamento"/>
    <s v="Adicionar uma ferramenta que facilita a medição da quantidade da cola._x000a__x000a_Pode ser um pouco maior ou até as marcas necessárias da quantidade de cola. _x000a__x000a_A foto do desenho é ilustrativa não tenho o tamanho exato._x000a__x000a_Quando um lado encostar na cola o outro vai mostrar a quantidade "/>
    <x v="81"/>
    <s v="Pequena mudança local"/>
    <s v="Processo"/>
    <x v="485"/>
    <s v="04. EMPACOTAMENTO"/>
    <d v="2026-04-20T18:10:02"/>
    <s v="Valeria Yanez"/>
    <s v="APROVADORES DE IDEIAS"/>
    <m/>
    <s v="Aguardando Validação"/>
    <s v="OPERAÇÃO"/>
  </r>
  <r>
    <s v="FB0145309"/>
    <s v="Moegas de reprocesso torradores 1 e 2"/>
    <s v="Em andamento"/>
    <s v="Moegas proliferando mofos por ficarem muito tempo fechadas!_x000a_Ideia de fazer telas iguais as moegas de reprocesso dos moinhos 1 e 5_x000a_Assim podemos manter abertas e não criar mais mofos."/>
    <x v="18"/>
    <s v="Pequena mudança local"/>
    <s v="Qualidade"/>
    <x v="486"/>
    <s v="01. TORRADORES"/>
    <d v="2026-06-16T19:18:44"/>
    <s v="Moises Costa"/>
    <s v="IDEIAS-PROCESSOS"/>
    <m/>
    <s v="Aguardando Orçamento"/>
    <s v="OPERAÇÃO"/>
  </r>
  <r>
    <s v="FB0145581"/>
    <s v="ESPELHO NA BARREIRA"/>
    <s v="Em andamento"/>
    <s v="Verificar a possibilidade de instalar outro espelho na barreira sanitária principal, conforme era antes da reforma. Em dias de DDSHEQ, o espelho atual, por ser pequeno, não atende à demanda, pois são muitas pessoas precisando utilizá-lo ao mesmo tempo, causando demora na entrada para a produção."/>
    <x v="44"/>
    <s v="Pequena mudança local"/>
    <s v="Cost (GE, rework)"/>
    <x v="487"/>
    <s v="06. ADMINISTRATIVO"/>
    <d v="2026-09-17T14:08:22"/>
    <s v="Jhonnathan Pereira"/>
    <s v="APROVADORES DE IDEIAS"/>
    <m/>
    <s v="Aguardando Orçamento"/>
    <s v="ADM/TÉCNICO/ASSISTENTE/ESTAG."/>
  </r>
  <r>
    <s v="FB0145947"/>
    <s v="correia de arraste do filme PKD "/>
    <s v="Cancelado"/>
    <s v="Troca (adaptação ) da correia de tração do filme por corrente de comando."/>
    <x v="72"/>
    <s v="Pequena mudança local"/>
    <s v="Cost (GE, rework)"/>
    <x v="488"/>
    <s v="01. LINHA 01"/>
    <d v="2026-05-04T10:49:20"/>
    <m/>
    <s v="IDEIAS-VACUO"/>
    <d v="2026-05-04T10:49:20"/>
    <s v="Cancelado"/>
    <s v="OPERAÇÃO"/>
  </r>
  <r>
    <s v="FB0146643"/>
    <s v="lógica da esteira alpino "/>
    <s v="Cancelado"/>
    <s v="Avaliar possibilidade de mudança na comunicação dos sensores do alpino com a encaixotadora para quando tiver pacote virado no twister  não aja acúmulo nas esteiras alpino ._x000a__x000a_IDEIA : Patrick Pessoa e Wesley Junior _x000a_ASSUNTO DISCUTIDO: Moisés Costa e Giovana Biffarate"/>
    <x v="1"/>
    <s v="Pequena mudança local"/>
    <s v="Processo"/>
    <x v="489"/>
    <s v="01. LINHA 01"/>
    <d v="2026-06-01T10:23:18"/>
    <m/>
    <s v="IDEIAS-VACUO"/>
    <d v="2026-06-01T10:23:18"/>
    <s v="Cancelado"/>
    <s v="OPERAÇÃO"/>
  </r>
  <r>
    <s v="FB0146658"/>
    <s v="Ferramenta para remoção de embalagens derretidas dos mordentes"/>
    <s v="Em andamento"/>
    <s v="Ideia para uma ferramenta para remoção de embalagens derretidas, possivelmente uma espátula um pouco mais espessa para que não se entorte._x000a__x000a_A referência seria uma parte de uma tesoura (abre a tesoura em dois pedaços e usa uma parte só). "/>
    <x v="0"/>
    <s v="Pequena mudança local"/>
    <s v="Cost (GE, rework)"/>
    <x v="490"/>
    <s v="04. LINHA 04"/>
    <d v="2026-05-27T07:57:24"/>
    <s v="Moises Costa"/>
    <s v="APROVADORES DE IDEIAS"/>
    <m/>
    <s v="Aguardando Execução "/>
    <s v="OPERAÇÃO"/>
  </r>
  <r>
    <s v="FB0146863"/>
    <s v="Implementação de uma mesa móvel com rodas para auxiliar a formação e apoio de fardos durante paradas operacionais do robô."/>
    <s v="Resolvido"/>
    <s v="Propõe-se a adição de uma mesa com rodas, de fácil movimentação e posicionamento, a ser utilizada como apoio na realização de fardos quando ocorrerem paradas do robô. A mesa permitirá melhor ergonomia aos operadores, maior estabilidade dos fardos durante o processo manual e maior agilidade na retomada da operação."/>
    <x v="71"/>
    <s v="Pequena mudança local"/>
    <s v="Organisation of work"/>
    <x v="491"/>
    <s v="04. EMPACOTAMENTO"/>
    <d v="2026-06-09T15:13:53"/>
    <m/>
    <s v="APROVADORES DE IDEIAS"/>
    <m/>
    <s v="Resolvido"/>
    <s v="ADM/TÉCNICO/ASSISTENTE/ESTAG."/>
  </r>
  <r>
    <s v="FB0147430"/>
    <s v="Indicador luminoso"/>
    <s v="Cancelado"/>
    <s v="Instalar um pequeno painel com luzes vermelho e verde, para que quando o operador finalizar a rotina de centerline ele aperta o botão verde ou vermelho, assim toda a fábrica terá visibilidade como estamos com o gerenciamento da ferramenta, caso esteja com a luz vermelha acionado, ja temos que ter o plano de ação para tão logo podermos voltar na condição ideal e trabalhar com a Luz verde acionado."/>
    <x v="82"/>
    <s v="Pequena mudança local"/>
    <s v="Cost (GE, rework)"/>
    <x v="492"/>
    <s v="01. JDE CAFES DO BRASIL UNIDADE PIUMHI"/>
    <d v="2026-04-30T16:13:00"/>
    <m/>
    <s v="IDEIAS-MELHORIA CONTÍNUA"/>
    <d v="2026-04-30T16:13:00"/>
    <s v="Cancelado"/>
    <s v="ADM/TÉCNICO/ASSISTENTE/ESTAG."/>
  </r>
  <r>
    <s v="FB0147590"/>
    <s v="Datador em alto desempenho "/>
    <s v="Em andamento"/>
    <s v="O atual codificador das fabrimas possui uma função de melhoria que faz a leitura automática da codificação. Essa função de impressão tem uma das finalidades de detectar falha na codificação, garantindo segurança do produto, podendo evitar novos incidentes na codificação. A ideia seria implementar esse sistema do codificador (SmartDate x45) para assegurar maior assertividade do que está sendo inserido no pacote (se tem falha, erro de números, borrado ...)"/>
    <x v="19"/>
    <s v="Pequena mudança local"/>
    <s v="Qualidade"/>
    <x v="493"/>
    <s v="05. LINHA 05"/>
    <d v="2026-09-17T14:05:23"/>
    <s v="Caio Ferreira"/>
    <s v="APROVADORES DE IDEIAS"/>
    <m/>
    <s v="Aguardando Orçamento"/>
    <s v="OPERAÇÃO"/>
  </r>
  <r>
    <s v="FB0147886"/>
    <s v="colocar uma tomada nesse local "/>
    <s v="Resolvido"/>
    <s v="Fio solto no chão _x000a_Manutenção: Ideia já está no radar da Manutenção aguardando uma brecha para dar inicio a execução"/>
    <x v="3"/>
    <s v="Pequena mudança local"/>
    <s v="Organisation of work"/>
    <x v="494"/>
    <s v="03. MOAGEM"/>
    <d v="2026-08-03T10:21:41"/>
    <s v="Ana Martins"/>
    <s v="APROVADORES DE IDEIAS"/>
    <m/>
    <s v="Resolvido"/>
    <s v="OPERAÇÃO"/>
  </r>
  <r>
    <s v="FB0147934"/>
    <s v="Melhoria no fluxo de aprovação de químicos"/>
    <s v="Cancelado"/>
    <s v="Atualmente, o fluxo de aprovação, além de ser meio lento em alguns processos, gera retrabalho quando uma área reprova por uma simples divergência, como, por exemplo, a descrição geral de uso do produto, enquanto o setor solicita o uso específico do mesmo._x000a__x000a_SHE: Para o processo de produtos químicos realmente não tem um prazo definido pois temos várias áreas que devem analisar e aprovar o produto, sugiro se programarem com antecedência para cadastro de um novo produto para que não tenha impacto na programação do requisitante. Acredito de quando se refere ao retrabalho geralmente está atribuído a algum risco de saúde, segurança ou qualidade que inviabiliza o uso do produto. Inflamabilidade, potencial carcinogênico, contaminação do produto não pode ser consideradas “simples divergências”. Quando perguntamos qual a “finalidade do produto” isso quer dizer qual o uso específico do produto, não podemos trabalhar com com um produto inflamável em um ambiente com alta temperatura, principalmente se estiver acima do ponto de fulgor._x000a__x000a_Com essa reprovação, todo o fluxo que já havia sido feito anteriormente é perdido, sendo necessário preencher novamente os dados e enviá-los para aprovação de cada setor, mesmo que já tenham sido aprovados anteriormente._x000a__x000a_SHE: São 4 áreas que fazem a análise, se não atende ao requisito de 1 área somente o documento torna-se invalido. Deve preencher novamente pois no caso de reprovação com sugestões de alteração, será um novo documento a ser avaliado, por isso deve-se requisitar a avaliação do novo documento. Além de em caso de auditoria não terá rastreabilidade. Mesmo que qualidade, meio ambiente e segurança aprovarem, se tiver alguma não conformidade o produto não entra. Ou atente 100% das áreas ou o produto não entra._x000a__x000a_Além disso, o envio de documentos como FDS, FDT e certificado da NSF não possui campos específicos para todos dentro do formulário, havendo apenas o campo para envio da FDS._x000a__x000a_SHE: De fato, não tem o campo pois precisamos somente da FDS. Este procedimento foi elaborado no passado pelas 4 áreas e entendemos que hoje necessitamos somente de FDS. Se tem alguma área pedindo mais informações pode ser que talvez o uso ou as informações do requerimento não estejam claras. Para Meio Ambiente, Segurança e Saúde precisamos somente o que está na FDS, se não tem não FDS geralmente reprovamos e sugerimos que entre em contato com o fornecedor e complete as informações. Em casos extremos sugerimos a seleção de outros produto._x000a__x000a_IDEIA:_x000a_Melhoria no fluxo do processo: se uma área já aprovou, não é necessário passar por ela novamente para aprovação, visto que o motivo da reprovação foi algo simples._x000a__x000a_SHE: Não podemos alterar desta forma, conforme expliquei acima tem que atender as 4 áreas, caso contrário o documento não é válido._x000a__x000a_Permitir a edição do formulário enviado anteriormente, de modo que não seja necessário preencher todo o formulário novamente, mas apenas editar o que gerou a reprovação, mantendo o fluxo já existente no processo._x000a__x000a_SHE: A possibilidade de editar um formulário já enviado compromete a rastreabilidade das reprovações ocorridas, além de permitir alterações livres nas informações originalmente registradas. Isso acaba por retirar a confiabilidade e a credibilidade de todo o processo de rastreabilidade e controle das aprovações._x000a_"/>
    <x v="83"/>
    <s v="Pequena mudança local"/>
    <s v="Safety - Health"/>
    <x v="495"/>
    <s v="09.19 SALA DE PRODUTOS QUÍMICOS "/>
    <d v="2026-04-30T13:57:37"/>
    <m/>
    <s v="IDEIAS-SHE"/>
    <d v="2026-04-30T13:57:37"/>
    <s v="Cancelado"/>
    <s v="ADM/TÉCNICO/ASSISTENTE/ESTAG."/>
  </r>
  <r>
    <s v="FB0148572"/>
    <s v="Suporte para peça de ajuda na limpeza das peneiras "/>
    <s v="Em andamento"/>
    <s v="Existe uma peça que atualmente fica no container utilizado para a limpeza das peneiras. Essa peça necessita de um suporte adequado para permanecer na área de uso, evitando o risco de queda e garantindo a padronização conforme os princípios do 5S"/>
    <x v="71"/>
    <s v="Pequena mudança local"/>
    <s v="Organisation of work"/>
    <x v="496"/>
    <s v="04. EMPACOTAMENTO"/>
    <d v="2026-05-07T09:07:28"/>
    <m/>
    <s v="APROVADORES DE IDEIAS"/>
    <m/>
    <s v="Aguardando Execução "/>
    <s v="ADM/TÉCNICO/ASSISTENTE/ESTAG."/>
  </r>
  <r>
    <s v="FB0149012"/>
    <s v="Compra de mais um exaustor para trabalhos em espaço confinado"/>
    <s v="Rascunho"/>
    <s v="Compra de mais um exaustor para trabalhos em espaço confinado (em alguns trabalhos necessitamos de um exaustor e um insulflador para retirada dos gases do espaço, hj usamos o ventilador grande porem ele é muito forte e joga muita particula de poeira, atrapalhando algumas vezes o trabalho,) a ideia consite em comprar mais um do mesmo exaustor que temos para fazermos a utilização dele como insulflador"/>
    <x v="12"/>
    <s v="Pequena mudança local"/>
    <s v="Processo"/>
    <x v="497"/>
    <s v="01. TORRADORES"/>
    <d v="2026-07-03T11:43:53"/>
    <m/>
    <s v="APROVADORES DE IDEIAS"/>
    <m/>
    <s v="Rascunho"/>
    <s v="ADM/TÉCNICO/ASSISTENTE/ESTAG."/>
  </r>
  <r>
    <s v="FB0149016"/>
    <s v="Troca e padronização das valvulas dos inclinometros do sistema do cablevey"/>
    <s v="Rascunho"/>
    <s v="Troca e padronização das valvulas dos inclinometros do sistema do cablevey (hoje temos varios problemas de valvulas travando e dando passagem de ar nos inclinometros, porem a valvula original foi descontinuada e não temos em estoque, a ideia consiste em fazer o mapeamento da quantidade de valvulas e conexões para que sejam compradas e trocadas) as valvulas devem ser de uma marca que conseguimos comprar com mais facilidade Ex: Festo ou SMC."/>
    <x v="12"/>
    <s v="Pequena mudança local"/>
    <s v="Processo"/>
    <x v="498"/>
    <s v="03. CABLEVEY"/>
    <d v="2026-06-30T14:26:35"/>
    <m/>
    <s v="APROVADORES DE IDEIAS"/>
    <m/>
    <s v="Rascunho"/>
    <s v="ADM/TÉCNICO/ASSISTENTE/ESTAG."/>
  </r>
  <r>
    <s v="FB0149024"/>
    <s v="Adicionar leite zero lactose nas opções para refeitorio "/>
    <s v="Resolvido"/>
    <s v="Adicionar a opção de leite zero lactose no refeitório, visando atender colaboradores com intolerância à lactose ou que optem por esse tipo de produto. A iniciativa promove inclusão alimentar, maior bem-estar e diversidade nas opções oferecidas, demonstrando cuidado com a saúde e as necessidades individuais dos usuários do refeitório."/>
    <x v="71"/>
    <s v="Pequena mudança local"/>
    <s v="Organisation of work"/>
    <x v="499"/>
    <s v="06. ADMINISTRATIVO"/>
    <d v="2026-07-03T11:13:05"/>
    <m/>
    <s v="APROVADORES DE IDEIAS"/>
    <m/>
    <s v="Resolvido"/>
    <s v="ADM/TÉCNICO/ASSISTENTE/ESTAG."/>
  </r>
  <r>
    <s v="FB0149187"/>
    <s v="codificador de pacote da  PKD "/>
    <s v="Cancelado"/>
    <s v="Toda vez que dá queda de energia o codificador desliga . Talvez o operador esquece de ligar ele no momento que se reinicia a máquina, daí passa vários pacotes sem codificação gerando retrabalho "/>
    <x v="54"/>
    <s v="Pequena mudança local"/>
    <s v="Qualidade"/>
    <x v="500"/>
    <s v="01. JDE CAFES DO BRASIL UNIDADE PIUMHI"/>
    <d v="2026-05-07T21:51:13"/>
    <s v="Angelina Destefani"/>
    <s v="IDEIAS-MELHORIA CONTÍNUA"/>
    <d v="2026-05-07T21:51:13"/>
    <s v="Cancelado"/>
    <s v="OPERAÇÃO"/>
  </r>
  <r>
    <s v="FB0149202"/>
    <s v="codificador laser da PKD toda vez que acontece queda de energia ele não liga automático."/>
    <s v="Resolvido"/>
    <s v="O codificador de pacotes da PKD toda vez que da uma queda de energia, ele  não liga automático. As vezes o operador, esquece de  ligar ele novamente então passa pacotes sem data . Gerando retrabalho e custo de embalagem. A minha sugestão é a seguinte colocar um sensor nele para que ele mande mensagem na máquina e assim a máquina não liga enquanto não retirar a falha. _x000a__x000a_Manutenção: &quot; Foi comprado o Nobreak, aguardando uma brecha para realiza instalação&quot;"/>
    <x v="54"/>
    <s v="Pequena mudança local"/>
    <s v="Qualidade"/>
    <x v="501"/>
    <s v="04. EMPACOTAMENTO"/>
    <d v="2026-07-06T14:23:47"/>
    <s v="Anderson Santana"/>
    <s v="APROVADORES DE IDEIAS"/>
    <m/>
    <s v="Resolvido"/>
    <s v="OPERAÇÃO"/>
  </r>
  <r>
    <s v="FB0149384"/>
    <s v="INSTALAÇÃO DE ILUMINAÇÃO NA SALA DOS QUIMICOS"/>
    <s v="Em andamento"/>
    <s v="INSTALAÇÃO DE ILUMINAÇÃO NA SALA DOS QUIMICOS, COM LAMPADA ANTE EXPOSÃO!_x000a__x000a_FOI VERIFICADO COM GUILHERME ESSA IDEIA, SERÁ POSSIVEL FOR PASSADO A FIAÇÃO POR FORA DA SALA, E FEITO UM BURACO SOMENTE PARA LAMPADA PELA PAREDE, NA PAREDE VOLTADA A AREA DO CAMINHOES, VERIFICAR COM ELETRONICO OS MATERIAS NECESSARIOS._x000a__x000a_Aprovado por SHE._x000a_Manutenção:&quot; Ideia esta sendo relizada&quot;"/>
    <x v="61"/>
    <s v="Pequena mudança local"/>
    <s v="Safety - Health"/>
    <x v="502"/>
    <s v="09.19 SALA DE PRODUTOS QUÍMICOS "/>
    <d v="2026-06-30T11:55:50"/>
    <s v="Ana Martins"/>
    <s v="APROVADORES DE IDEIAS"/>
    <m/>
    <s v="Aguardando Execução "/>
    <s v="ADM/TÉCNICO/ASSISTENTE/ESTAG."/>
  </r>
  <r>
    <s v="FB0149417"/>
    <s v="Possível melhoria em embalagem plástica raumak"/>
    <s v="Rascunho"/>
    <s v="Comprar embalagem plástica para Raumak mais pesadas, pois, no tamanho maior pois quanto maior menos tempo precisa trocar a bobina. Melhor a produtividade. A mesma embalagem vinha 40kg há muito tempo agora está recorrente as de 30kg aproximado"/>
    <x v="78"/>
    <s v="Pequena mudança local"/>
    <m/>
    <x v="503"/>
    <s v="02. LINHA 02"/>
    <d v="2026-05-08T17:25:39"/>
    <m/>
    <s v="APROVADORES DE IDEIAS"/>
    <m/>
    <s v="Rascunho"/>
    <s v="OPERAÇÃO"/>
  </r>
  <r>
    <s v="FB0150385"/>
    <s v="Melhoria na logica do testador de vacuo pkd"/>
    <s v="Resolvido"/>
    <s v="Integrantes: Arthur e Igor Souza,_x000a_Melhoria na logica do testador de vacuo pkd. Consiste em implementar um novo travamento em que o freio antes do testador fique atuado quando não houver pacote na esteira, para que sempre o ciclo de saida dos pacotes acumulados seja sempre igual e não passe pacotes avulsos causando falha nos testes de vacuo_x000a_(a melhoria foi implementada dia 12/05 esta em acompanhamento para estratificação de resultados)"/>
    <x v="12"/>
    <s v="Pequena mudança local"/>
    <s v="Qualidade"/>
    <x v="504"/>
    <s v="01. LINHA 01"/>
    <d v="2026-05-29T10:12:51"/>
    <m/>
    <s v="IDEIAS-VACUO"/>
    <m/>
    <s v="Resolvido"/>
    <s v="ADM/TÉCNICO/ASSISTENTE/ESTAG."/>
  </r>
  <r>
    <s v="FB0150542"/>
    <s v="Melhoria na tampa próximo ao “funil” do esteirao de Cavaco "/>
    <s v="Em andamento"/>
    <s v="Criar uma porta na tampa que prende próximo ao Esteirão, para facilitar a limpeza. Pois a tampa é feita de aço extremamente pesada, somada ao peso do pó que se acumula deve pesar aproximadamente 50kg pra ser retirado do alto e na mão, gerando uma condição insegura para quem realiza a atividade tanto ergonômica quanto aumentando o risco de acidente e danos materiais caso ocorra da mesma cair._x000a_Obs:É necessário a retirada da tampa toda vez que realizar a limpeza do esteirao pois é um ponto crítico de acúmulo de pó que pode gerar travamento e quebra no equipamento. _x000a__x000a_SHE: Para a área de SHE, a opção mais adequada é seccionar a tampa, a fim de facilitar o processo de limpeza. Por outro lado, a alternativa de instalar uma porta apresenta um risco elevado de que ela permaneça aberta indevidamente."/>
    <x v="5"/>
    <s v="Pequena mudança local"/>
    <s v="Processo"/>
    <x v="505"/>
    <s v="02. TORREFAÇÃO"/>
    <d v="2026-07-14T12:37:30"/>
    <m/>
    <s v="APROVADORES DE IDEIAS"/>
    <m/>
    <s v="Aguardando Execução "/>
    <s v="OPERAÇÃO"/>
  </r>
  <r>
    <s v="FB0150729"/>
    <s v="Armadilhas Luminosas Na Logística/Entrada Principal - Adicionar tomadas"/>
    <s v="Cancelado"/>
    <s v="Na ultima auditoria Interna a Taina sugeriu adicionar novas armadilhas luminosas próxima as portas e portão, tanto da logística quanto da entrada principal. Precisamos colocar tomadas para assim instalar as armadilhas."/>
    <x v="84"/>
    <s v="Pequena mudança local"/>
    <s v="Qualidade"/>
    <x v="506"/>
    <s v="01. JDE CAFES DO BRASIL UNIDADE PIUMHI"/>
    <d v="2026-05-26T14:29:06"/>
    <m/>
    <s v="IDEIAS-MELHORIA CONTÍNUA"/>
    <d v="2026-05-26T14:29:06"/>
    <s v="Cancelado"/>
    <s v="ADM/TÉCNICO/ASSISTENTE/ESTAG."/>
  </r>
  <r>
    <s v="FB0151505"/>
    <s v="emenda perfeita"/>
    <s v="Rascunho"/>
    <s v="criar um suporte movel no suporte que segura a bobina para realizar a emenda da bobina assim evitando o desperdicio de embalagem "/>
    <x v="85"/>
    <s v="Pequena mudança local"/>
    <s v="Product"/>
    <x v="507"/>
    <s v="04. EMPACOTAMENTO"/>
    <d v="2026-07-03T11:13:58"/>
    <m/>
    <s v="APROVADORES DE IDEIAS"/>
    <m/>
    <s v="Rascunho"/>
    <s v="ADM/TÉCNICO/ASSISTENTE/ESTAG."/>
  </r>
  <r>
    <s v="FB0151722"/>
    <s v="troca dos acrilicos da camara de vacuo pkd"/>
    <s v="Rascunho"/>
    <s v="troca dos acrilicos da camara de vacuo pkd, para melhor visualização dos pacotes "/>
    <x v="12"/>
    <s v="Pequena mudança local"/>
    <s v="Organisation of work"/>
    <x v="508"/>
    <s v="01. LINHA 01"/>
    <d v="2026-06-30T14:28:08"/>
    <m/>
    <s v="APROVADORES DE IDEIAS"/>
    <m/>
    <s v="Rascunho"/>
    <s v="ADM/TÉCNICO/ASSISTENTE/ESTAG."/>
  </r>
  <r>
    <s v="FB0151723"/>
    <s v="Troca dos vacometros da pkd"/>
    <s v="Em andamento"/>
    <s v="Criar um Padrão de vacometro para utilização na Pkd, os que foram instalados, estao com fita isolante para tampar um furo proveniente de uma valvula de posição que ele possuia, porem se soltava com a produção da maquina "/>
    <x v="12"/>
    <s v="Pequena mudança local"/>
    <s v="Qualidade"/>
    <x v="509"/>
    <s v="01. LINHA 01"/>
    <d v="2026-06-30T11:55:00"/>
    <s v="Ana Martins"/>
    <s v="APROVADORES DE IDEIAS"/>
    <m/>
    <s v="Aguardando Execução "/>
    <s v="ADM/TÉCNICO/ASSISTENTE/ESTAG."/>
  </r>
  <r>
    <s v="FB0151957"/>
    <s v="Controle para Tv no administrativo "/>
    <s v="Cancelado"/>
    <s v="A TV do setor administrativo não possui controle remoto. Sugiro a aquisição de um, pois ela é utilizada para o acompanhamento da produção."/>
    <x v="86"/>
    <s v="Pequena mudança local"/>
    <s v="Cost (GE, rework)"/>
    <x v="510"/>
    <s v="01. JDE CAFES DO BRASIL UNIDADE PIUMHI"/>
    <d v="2026-05-29T09:05:14"/>
    <s v="Ana Pereira"/>
    <s v="IDEIAS-MELHORIA CONTÍNUA"/>
    <d v="2026-05-29T09:05:14"/>
    <s v="Cancelado"/>
    <s v="ADM/TÉCNICO/ASSISTENTE/ESTAG."/>
  </r>
  <r>
    <s v="FB0152013"/>
    <s v="uma mesa no lugar da lixeira "/>
    <s v="Rascunho"/>
    <s v="Minha ideia é remover remover as lixeiras para outro lado e coloca um mesa na Fabrima 5 pois assim temos espaço para fazer as análises . "/>
    <x v="80"/>
    <s v="Pequena mudança local"/>
    <m/>
    <x v="511"/>
    <s v="04. EMPACOTAMENTO"/>
    <d v="2026-05-27T01:49:39"/>
    <m/>
    <s v="APROVADORES DE IDEIAS"/>
    <m/>
    <s v="Rascunho"/>
    <s v="OPERAÇÃO"/>
  </r>
  <r>
    <s v="FB0152268"/>
    <s v="PRESENÇA PREMIADA"/>
    <s v="Em andamento"/>
    <s v="A Brasanitas está com um programa muito legal, de presença premiada. Todo colaborador que não tiver falta (justificada ou injustificada) e atestado, ganham 200,00 no V.A. O JDE poderia avaliar de fazer algum programa parecido, isso reduz muito o absenteísmo e engaja bastante os colaboradores."/>
    <x v="44"/>
    <s v="Pequena mudança local"/>
    <s v="Organisation of work"/>
    <x v="512"/>
    <s v="06. ADMINISTRATIVO"/>
    <d v="2026-09-01T12:26:44"/>
    <s v="Fabrizia Soares"/>
    <s v="APROVADORES DE IDEIAS"/>
    <m/>
    <s v="Aguardando Validação"/>
    <s v="ADM/TÉCNICO/ASSISTENTE/ESTAG."/>
  </r>
  <r>
    <s v="FB0152270"/>
    <s v="Facilitador de abertura de chamados"/>
    <s v="Resolvido"/>
    <s v="Problema: Muito custo operacional na abertura e acompanhamento dos chamados realizados para colaboradores pelo setor de RH._x000a__x000a_Solução direta: Disponibilização de tablet e computador para preenchimento por parte dos colaboradores._x000a__x000a_Execução: Tutorial de como abrir e preencher o chamado em formato físico e em vídeo, a ideia é disponibilizar em 1 tablet fixo na operação, 1 computador fixo na operação e outro tablet no RH para aqueles que precisarem de auxílio. (Ja possui um tablet no RH que pode ser disponibilizado, já existe o computador na estação digital, já foi conversado com gestor sobre a possibilidade de manter um tablet na operação._x000a__x000a_Objetivo: a ideia é que os gestores acompanhem junto aos colaboradores a resolução e desdobramento dos chamados, e que, o e-mail referente ás solicitações, seja checado regularmente, garantindo um bom tempo de resposta e solução para os problemas identificados relacionados ao RH."/>
    <x v="87"/>
    <s v="Pequena mudança local"/>
    <s v="Organisation of work"/>
    <x v="513"/>
    <s v="09.10 Escritórios administrativos"/>
    <d v="2026-05-28T14:35:50"/>
    <s v="Weverton Rodrigues"/>
    <s v="IDEIAS-ADMINISTRATIVO"/>
    <m/>
    <s v="Resolvido"/>
    <s v="ADM/TÉCNICO/ASSISTENTE/ESTAG."/>
  </r>
  <r>
    <s v="FB0152430"/>
    <s v="Instalação de seccionadora individual para uso da manivela manual durante emergências na torradora."/>
    <s v="Rascunho"/>
    <s v="Instalação de seccionadora individual para uso da manivela manual durante emergências no torrador. Esta ação garantirá que os operadores do torrador possam realizar o procedimento de uso da manivela em caso de emergência, sem a necessidade de chamar ou aguardar um eletrônico."/>
    <x v="69"/>
    <s v="Pequena mudança local"/>
    <s v="Processo"/>
    <x v="514"/>
    <s v="02. TORREFAÇÃO"/>
    <d v="2026-06-30T14:28:54"/>
    <m/>
    <s v="APROVADORES DE IDEIAS"/>
    <m/>
    <s v="Rascunho"/>
    <s v="ADM/TÉCNICO/ASSISTENTE/ESTAG."/>
  </r>
  <r>
    <s v="FB0152719"/>
    <s v="Instalação de prendedores para as fornalhas  "/>
    <s v="Cancelado"/>
    <s v="Atualmente, os prendedores de vassouras e rodos das fornalhas estão localizados longe do ponto onde as ferramentas são utilizadas. Portanto, seria ideal a instalação de novos prendedores próximos às caçambas de películas de café, visando melhorar a organização da área. Só precisaria dos prendedores que o almoxarifado tem em estoque e um mecânico para parafusar "/>
    <x v="71"/>
    <s v="Pequena mudança local"/>
    <s v="Organisation of work"/>
    <x v="515"/>
    <s v="08. BIOMASSA"/>
    <d v="2026-06-03T12:18:17"/>
    <m/>
    <s v="IDEIAS-PROCESSOS"/>
    <d v="2026-06-03T12:18:17"/>
    <s v="Cancelado"/>
    <s v="ADM/TÉCNICO/ASSISTENTE/ESTAG."/>
  </r>
  <r>
    <s v="FB0152795"/>
    <s v="Café do CGC contado duas vezes."/>
    <s v="Cancelado"/>
    <s v="Criar uma ferramenta para raspar ou bater esse café grudado. Esse café é pesado duas x."/>
    <x v="88"/>
    <s v="Pequena mudança local"/>
    <s v="Qualidade"/>
    <x v="516"/>
    <s v="01. CAFÉ CRU"/>
    <d v="2026-07-28T17:10:07"/>
    <m/>
    <s v="APROVADORES DE IDEIAS"/>
    <d v="2026-07-28T17:10:07"/>
    <s v="Cancelado"/>
    <s v="OPERAÇÃO"/>
  </r>
  <r>
    <s v="FB0152922"/>
    <s v="a escada grande da PKD."/>
    <s v="Resolvido"/>
    <s v="Todas as áreas pega leva emprestada e nem sempre devolve. Quando vira pacote no disco do alpino precisamos dela porque é a única que dá da altura no alpino . A sugestão é. Que trancamos ela  e a chave fica com o operador de cada turno assim sabemos quem pegou. Fica mais fácil de localizar e pedir a devolução."/>
    <x v="54"/>
    <s v="Pequena mudança local"/>
    <s v="Safety - Health"/>
    <x v="517"/>
    <s v="04. EMPACOTAMENTO"/>
    <d v="2026-08-06T09:35:20"/>
    <s v="Flavia Silveira"/>
    <s v="APROVADORES DE IDEIAS"/>
    <m/>
    <s v="Resolvido"/>
    <s v="OPERAÇÃO"/>
  </r>
  <r>
    <s v="FB0153239"/>
    <s v="carrinho reserva para o detector de metal"/>
    <s v="Rascunho"/>
    <s v="Carrinho de reprocesso reserva para o detector de metal"/>
    <x v="48"/>
    <s v="Pequena mudança local"/>
    <s v="Processo"/>
    <x v="518"/>
    <s v="01. LINHA 01"/>
    <d v="2026-06-30T14:29:39"/>
    <m/>
    <s v="APROVADORES DE IDEIAS"/>
    <m/>
    <s v="Rascunho"/>
    <s v="OPERAÇÃO"/>
  </r>
  <r>
    <s v="FB0153280"/>
    <s v="Criação do palete de RO"/>
    <s v="Em andamento"/>
    <s v="Criação do palete de RO._x000a_Hoje temos problemas do operador nao pesar as bobinas de RO com a criação do palete de RO ao lado da balança esse problema tende a diminuir."/>
    <x v="88"/>
    <s v="Pequena mudança local"/>
    <s v="Organisation of work"/>
    <x v="519"/>
    <s v="04. EMPACOTAMENTO"/>
    <d v="2026-09-17T14:04:16"/>
    <s v="Jhonnathan Pereira"/>
    <s v="APROVADORES DE IDEIAS"/>
    <m/>
    <s v="Aguardando Orçamento"/>
    <s v="OPERAÇÃO"/>
  </r>
  <r>
    <s v="FB0153364"/>
    <s v="Redução da saída de café das bicas "/>
    <s v="Em andamento"/>
    <s v="A proposta é substituir o mangote por um “funil” metálico pois assim reduziríamos o fluxo de café e consequentemente evitaríamos a poeira suspensa e derramamento de café na parte da plataforma que fica as rodas da carreta._x000a__x000a_Temos no galpão 3 o material necessário para execução da ideia."/>
    <x v="10"/>
    <s v="Pequena mudança local"/>
    <s v="Qualidade"/>
    <x v="520"/>
    <s v="01. CAFÉ CRU"/>
    <d v="2026-07-14T12:36:03"/>
    <m/>
    <s v="APROVADORES DE IDEIAS"/>
    <m/>
    <s v="Aguardando Execução "/>
    <s v="OPERAÇÃO"/>
  </r>
  <r>
    <s v="FB0153880"/>
    <s v="Criação de bancada exclusiva para testes de motores"/>
    <s v="Rascunho"/>
    <s v="Seria necessario a criação de uma bancada especifica e isolada para realização de teste em motores na oficina de manutenção, hj temos um painel de testes porem, nao conseguimos testar alguns motores com ele, e tbm o espaço para os testes e ocupado por outras coisas e não e especifico parar esse motivo_x000a__x000a_Sera necessario a avaliação de um eletronico para a adequação e consolidação de como seria feito essa bancada."/>
    <x v="12"/>
    <s v="Pequena mudança local"/>
    <s v="Organisation of work"/>
    <x v="521"/>
    <s v="06. ADMINISTRATIVO"/>
    <d v="2026-07-03T11:24:37"/>
    <m/>
    <s v="APROVADORES DE IDEIAS"/>
    <m/>
    <s v="Rascunho"/>
    <s v="ADM/TÉCNICO/ASSISTENTE/ESTAG."/>
  </r>
  <r>
    <s v="FB0153915"/>
    <s v="empurrador de caixa(robô)"/>
    <s v="Em andamento"/>
    <s v="Acrescentar na árvore de perca ,empurrador de caixa do robô "/>
    <x v="48"/>
    <s v="Pequena mudança local"/>
    <s v="Cost (GE, rework)"/>
    <x v="522"/>
    <s v="01. LINHA 01"/>
    <d v="2026-06-11T14:39:37"/>
    <s v="Relton Moraes"/>
    <s v="IDEIAS-VACUO"/>
    <m/>
    <s v="Aguardando Execução "/>
    <s v="OPERAÇÃO"/>
  </r>
  <r>
    <s v="FB0154141"/>
    <s v="carrinho para bobina pequena  para PKD "/>
    <s v="Rascunho"/>
    <s v="Carrinho para pegar bobina menores  na PKD, pois quando a troca de produto dos carrinhos das fabrimas tá ocupado vira um caos "/>
    <x v="48"/>
    <s v="Pequena mudança local"/>
    <s v="Organisation of work"/>
    <x v="523"/>
    <s v="01. LINHA 01"/>
    <d v="2026-06-30T14:34:54"/>
    <m/>
    <s v="APROVADORES DE IDEIAS"/>
    <m/>
    <s v="Rascunho"/>
    <s v="OPERAÇÃO"/>
  </r>
  <r>
    <s v="FB0154235"/>
    <s v="TORNEIRA COM ACIONAMENTO AUTOMÁTICO"/>
    <s v="Cancelado"/>
    <s v="Ao realizar a troca da torneira da barreira sanitária da manutenção, instalar uma de acionamento automático igual dos vestiários. A torneira utilizada atualmente, fica acionando toda vez que passamos na frente e isso causa um gasto desnecessário de água, ou trocar um modelo para uma que o sensor seja no bico da torneira. "/>
    <x v="44"/>
    <s v="Pequena mudança local"/>
    <s v="Organisation of work"/>
    <x v="524"/>
    <s v="06. ADMINISTRATIVO"/>
    <d v="2026-06-10T09:36:40"/>
    <m/>
    <s v="IDEIAS-ADMINISTRATIVO"/>
    <d v="2026-06-10T09:36:40"/>
    <s v="Cancelado"/>
    <s v="ADM/TÉCNICO/ASSISTENTE/ESTAG."/>
  </r>
  <r>
    <s v="FB0154244"/>
    <s v="Melhoria Para esvaziar Tanque de água Torrador 01"/>
    <s v="Em andamento"/>
    <s v="Toda Atuação para esvaziar tanque de água do torrador 01 ela precisa ser feita retirando toda água em um carrinho de inox porém devido a estrutura do torrador não conseguimos colocar o carrinho abaixo do dreno 100%. A ideia que melhor nos atende para não gerar tanto impacto de trabalho seria Adicionar Um JOELHO DE 90° na saída do Dreno, assim ficaria mais fácil e ágil para retirada da água do tanque e não geraria tanto transtorno para time de manufatura e brasanita de limpeza da Área "/>
    <x v="29"/>
    <s v="Grande mudança local"/>
    <s v="Processo"/>
    <x v="525"/>
    <s v="01. TORRADORES"/>
    <d v="2026-07-14T12:39:48"/>
    <m/>
    <s v="APROVADORES DE IDEIAS"/>
    <m/>
    <s v="Aguardando Orçamento"/>
    <s v="OPERAÇÃO"/>
  </r>
  <r>
    <s v="FB0154266"/>
    <s v="Projeto de Melhoria para YIELD  torrador 02"/>
    <s v="Em andamento"/>
    <s v="Projeto de melhoria para torrador 02 da troca da válvula rotativa por RP ( Gaveta ). Hoje atualmente o yield do torrador 01 tem mais referência de resultados positivos do que torrador 02. OBS: Hoje no torrador 01 devido ser Gaveta ela é 100% vedada garantindo que quando o exaustor faz a exaustão para puxar o café para balança faz com que quando atingir o ventilar máximo em 60HZ e sendo gaveta garanti que não ocorra passagem de ar e não puxe a balança na interferência da pesagem e cálculo do YIELD, como no torrador 02 é válvula rotativa e ao atingir o ventilar na velocidade máxima de 60HZ pode ser que ele puxe a balança devido ser válvula rotativa dando passagem do ar e interferindo nas pesagem das torra e no cálculo do YIELD, lembrando que o torrador 02 ele é sempre mais baixo que o torrador 01 em relação a resultados. A ideia é replicar a gaveta igual do torrador 01 para o torrador 02 para eliminar essas perdas que temos, fotos ilustradas acima para melhor entender._x000a_"/>
    <x v="29"/>
    <s v="Grande mudança local"/>
    <s v="Yeld"/>
    <x v="526"/>
    <s v="01. TORRADORES"/>
    <d v="2026-07-14T12:41:07"/>
    <m/>
    <s v="APROVADORES DE IDEIAS"/>
    <m/>
    <s v="Aguardando Aprovação de CAPEX"/>
    <s v="OPERAÇÃO"/>
  </r>
  <r>
    <s v="FB0154427"/>
    <s v="Carregamento de café a granel "/>
    <s v="Em andamento"/>
    <s v="Realizar uma melhoria para conseguir o carregamento de café a granel, hoje temos dificuldades para devolver café quando encontrado algum contaminante ou fora da especificação após o descarregamento._x000a_A ideia é retornar o café no elevador 09 diretamente para a carreta, adaptar uma bica com registro na rosca para conseguir direcionar o café para a carreta."/>
    <x v="50"/>
    <s v="Pequena mudança local"/>
    <s v="Cost (GE, rework)"/>
    <x v="527"/>
    <s v="01. CAFÉ CRU"/>
    <d v="2026-09-01T12:23:57"/>
    <s v="Ana Martins"/>
    <s v="APROVADORES DE IDEIAS"/>
    <m/>
    <s v="Aguardando Aprovação de CAPEX"/>
    <s v="OPERAÇÃO"/>
  </r>
  <r>
    <s v="FB0154434"/>
    <s v="depósito de cola do coleiro sem marcação "/>
    <s v="Em andamento"/>
    <s v="O depósito de cola do coleiro Fabrima 02 e 03 não tem nenhuma marcação que especifica se tem a quantidade de cola certa faltando ou sobrando cola"/>
    <x v="89"/>
    <s v="Pequena mudança local"/>
    <s v="Processo"/>
    <x v="528"/>
    <s v="02. LINHA 02"/>
    <d v="2026-07-14T12:37:54"/>
    <m/>
    <s v="APROVADORES DE IDEIAS"/>
    <m/>
    <s v="Aguardando Validação"/>
    <s v="OPERAÇÃO"/>
  </r>
  <r>
    <s v="FB0154446"/>
    <s v="DOAÇÃO DE TUBETES DE PAPELÃO"/>
    <s v="Cancelado"/>
    <s v="Boa parte do nosso descarte de papelão são tubetes de embalagem, tentamos uma logística reversa com o fornecedor, porém não tivemos sucesso por eles terem que pagar o transporte desse material.  _x000a__x000a_Pensamos na possibilidade de realizar a doação desse material, para a empresa de reciclagem que temos em Piumhi, teriamos uma redução no nosso descarte desse material, tendo em vista que a venda não é tão vantajosa para a JDE._x000a_"/>
    <x v="44"/>
    <s v="Pequena mudança local"/>
    <s v="Safety - Health"/>
    <x v="529"/>
    <s v="06. ADMINISTRATIVO"/>
    <d v="2026-07-14T17:30:57"/>
    <m/>
    <s v="APROVADORES DE IDEIAS"/>
    <d v="2026-07-14T17:30:57"/>
    <s v="Cancelado"/>
    <s v="ADM/TÉCNICO/ASSISTENTE/ESTAG."/>
  </r>
  <r>
    <s v="FB0154804"/>
    <s v="melhoria   CIL"/>
    <s v="Rascunho"/>
    <s v="Limpeza no sensor de apara "/>
    <x v="48"/>
    <s v="Pequena mudança local"/>
    <s v="Processo"/>
    <x v="530"/>
    <s v="01. LINHA 01"/>
    <d v="2026-06-30T14:38:04"/>
    <m/>
    <s v="APROVADORES DE IDEIAS"/>
    <m/>
    <s v="Rascunho"/>
    <s v="OPERAÇÃO"/>
  </r>
  <r>
    <s v="FB0154914"/>
    <s v="Substituição dos sensores magnéticos das portas por modelos com LED de indicação visual, facilitando a identificação de portas abertas, mal fechadas ou sensores"/>
    <s v="Em andamento"/>
    <s v="Atualmente, ocorrem diversas paradas de máquina causadas por portas mal fechadas ou sensores magnéticos desalinhados. Em muitos casos, a identificação da porta responsável pela falha demanda tempo e requer a intervenção da equipe de manutenção._x000a_Como melhoria, propõe-se a substituição dos sensores magnéticos atuais dos equipamentos Fabrima e Raumak por modelos com indicação visual por LED. Dessa forma, os operadores poderão identificar rapidamente qual porta está aberta, parcialmente aberta ou com problema de alinhamento, sem a necessidade imediata de acionar a manutenção._x000a_A implementação inicial será realizada na Linha 5, com o objetivo de validar os resultados obtidos. Após a comprovação dos benefícios, a solução poderá ser replicada para as demais linhas da unidade."/>
    <x v="90"/>
    <s v="Grande mudança local"/>
    <s v="Product"/>
    <x v="531"/>
    <s v="01. JDE CAFES DO BRASIL UNIDADE PIUMHI"/>
    <d v="2026-06-19T10:56:32"/>
    <m/>
    <s v="IDEIAS-MELHORIA CONTÍNUA"/>
    <m/>
    <s v="Resolvido"/>
    <s v="ADM/TÉCNICO/ASSISTENTE/ESTAG."/>
  </r>
  <r>
    <s v="FB0154917"/>
    <s v="Substituição dos sensores capacitivos IFM dos transportes de café cru por sensores Baumer, visando aumentar a confiabilidade da detecção de nível e reduzir falh"/>
    <s v="Rascunho"/>
    <s v="Substituição dos sensores capacitivos IFM utilizados nos transportes de café cru por sensores capacitivos Baumer. O modelo atual apresenta variações de detecção devido às mudanças nas características do café, principalmente pela presença de poeira, ocasionando envio incorreto de produto para os torradores. O modelo Baumer permite um ajuste mais preciso da sensibilidade conforme as características do material, proporcionando maior confiabilidade na detecção. Este mesmo modelo já é utilizado com sucesso nos silos de pó."/>
    <x v="90"/>
    <s v="Grande mudança local"/>
    <s v="Processo"/>
    <x v="532"/>
    <s v="01. CAFÉ CRU"/>
    <d v="2026-07-03T11:30:49"/>
    <m/>
    <s v="APROVADORES DE IDEIAS"/>
    <m/>
    <s v="Rascunho"/>
    <s v="ADM/TÉCNICO/ASSISTENTE/ESTAG."/>
  </r>
  <r>
    <s v="FB0155417"/>
    <s v="Gestão de rádios com rastreio em tempo real e responsabilidade dos usuários."/>
    <s v="Rascunho"/>
    <s v="Melhoria na gestão de rádios e acessórios, com controle em tempo real da localização dos equipamentos e implementação de termos de responsabilidade para os associados, garantindo maior organização, rastreabilidade e conservação dos recursos._x000a_"/>
    <x v="91"/>
    <s v="Pequena mudança local"/>
    <s v="Safety - Health"/>
    <x v="533"/>
    <s v="09.19 SALA DE PRODUTOS QUÍMICOS "/>
    <d v="2026-06-30T14:38:55"/>
    <m/>
    <s v="APROVADORES DE IDEIAS"/>
    <m/>
    <s v="Rascunho"/>
    <s v="ADM/TÉCNICO/ASSISTENTE/ESTAG."/>
  </r>
  <r>
    <s v="FB0155442"/>
    <s v="retirar segundo alarme do detector de metais(corpo de prova)"/>
    <s v="Rascunho"/>
    <s v="Desde 01/06 foi feita uma mudança pra que o teste ocorresse para apenas uma vez no turno._x000a_Não é necessário o segundo alarme mais "/>
    <x v="74"/>
    <s v="Pequena mudança local"/>
    <m/>
    <x v="534"/>
    <s v="02. LINHA 02"/>
    <d v="2026-06-19T02:52:35"/>
    <m/>
    <s v="APROVADORES DE IDEIAS"/>
    <m/>
    <s v="Rascunho"/>
    <s v="OPERAÇÃO"/>
  </r>
  <r>
    <s v="FB0155532"/>
    <s v="Mudança de local da etiquetadora da linha 4"/>
    <s v="Resolvido"/>
    <s v="Já realizada_x000a_Realizado a mudança da etiquetadora para a esteira posterior para melhor desempenho e facilidade no ajuste da etiquetadora diminuindo falhas e sujidade excessiva gerada por mal ajuste da mesma"/>
    <x v="12"/>
    <s v="Pequena mudança local"/>
    <s v="Qualidade"/>
    <x v="535"/>
    <s v="04. LINHA 04"/>
    <d v="2026-09-08T11:22:06"/>
    <m/>
    <s v="APROVADORES DE IDEIAS"/>
    <m/>
    <s v="Resolvido"/>
    <s v="ADM/TÉCNICO/ASSISTENTE/ESTAG."/>
  </r>
  <r>
    <s v="FB0155552"/>
    <s v="adicionar três caixas dessa embaixo da mesa do borracheiro "/>
    <s v="Em andamento"/>
    <s v="adicionar três caixas dessa embaixo da mesa do borracheiro "/>
    <x v="81"/>
    <s v="Pequena mudança local"/>
    <s v="Qualidade"/>
    <x v="536"/>
    <s v="01. LINHA 01"/>
    <d v="2026-06-25T15:44:41"/>
    <s v="Flavia Silveira"/>
    <s v="APROVADORES DE IDEIAS"/>
    <m/>
    <s v="Aguardando material "/>
    <s v="OPERAÇÃO"/>
  </r>
  <r>
    <s v="FB0155757"/>
    <s v="Implementação Na Área descarte para limpeza para Área "/>
    <s v="Em andamento"/>
    <s v="Área de resíduos de descarte de rejeitos não tem uma vassoura e nem uma Pá, a ideia é implementar um guia de suporte contendo uma vassoura e uma pá para que após os associados realizarem os descartes realizar a limpeza da área, nessa área de descarte não existe esses itens para limpeza assim a área fica limpa e logo após realizados os descarte realizaremos a limpeza do chão e otimizamos tempo ao voltar até a linha e até a área novamente "/>
    <x v="29"/>
    <s v="Pequena mudança local"/>
    <s v="Organisation of work"/>
    <x v="537"/>
    <s v="04. EMPACOTAMENTO"/>
    <d v="2026-09-01T12:19:32"/>
    <s v="Jhonnathan Pereira"/>
    <s v="APROVADORES DE IDEIAS"/>
    <m/>
    <s v="Aguardando Orçamento"/>
    <s v="OPERAÇÃO"/>
  </r>
  <r>
    <s v="FB0155760"/>
    <s v="Centralização das etiquetas SHEalert no quadro para facilitar atualização pela equipe"/>
    <s v="Fechado"/>
    <s v="Atualmente, as etiquetas de SHEalert encontram-se armazenadas em gavetas sob responsabilidade de membros da equipe de SHE, o que acaba dificultando o processo de atualização. Essa prática limita o acesso e a gestão a uma única pessoa, reduzindo a agilidade e a eficiência na manutenção das informações._x000a_A proposta desta ideia é tornar o acesso às etiquetas mais democrático, permitindo que qualquer integrante da equipe de SHE possa realizar atualizações sempre que necessário. Para isso, sugere-se que as etiquetas sejam disponibilizadas diretamente no próprio quadro, facilitando o acesso imediato._x000a_Com essa mudança, busca-se garantir que a fábrica e os quadros informativos permaneçam constantemente atualizados, de forma mais rápida, prática e eficiente."/>
    <x v="68"/>
    <s v="Pequena mudança local"/>
    <s v="Safety - Health"/>
    <x v="538"/>
    <s v="09.19 SALA DE PRODUTOS QUÍMICOS "/>
    <d v="2026-06-22T14:54:49"/>
    <s v="Jhonnathan Pereira"/>
    <s v="IDEIAS-SHE"/>
    <d v="2026-06-22T14:54:49"/>
    <s v="Fechado"/>
    <s v="ADM/TÉCNICO/ASSISTENTE/ESTAG."/>
  </r>
  <r>
    <s v="FB0155976"/>
    <s v="Remoção de parâmetros com senha na Fabrima 2 (alinhado com Fabrima 4 e 5)"/>
    <s v="Rascunho"/>
    <s v="A ideia é revisar e retirar os parâmetros que possuem senha na Fabrima 2, seguindo o mesmo padrão já adotado nas Fabrimas 4 e 5._x000a_Durante essa revisão, será realizado um alinhamento conjunto com o Operador e o Coordenador para garantir clareza e segurança na tomada de decisão._x000a__x000a_Objetivo_x000a_Identificar todos os parâmetros da Fabrima 2 que atualmente utilizam senha_x000a_Avaliar, em conjunto com o Operador e o Coordenador, quais parâmetros:_x000a_Podem ter a senha removida_x000a_Precisam obrigatoriamente manter senha_x000a_Garantir que os parâmetros estejam corretamente classificados conforme necessidade operacional e de segurança_x000a_Participantes: Igor, Rafael e Flávia "/>
    <x v="86"/>
    <s v="Pequena mudança local"/>
    <s v="Processo"/>
    <x v="539"/>
    <s v="04. EMPACOTAMENTO"/>
    <d v="2026-07-03T11:31:19"/>
    <m/>
    <s v="APROVADORES DE IDEIAS"/>
    <m/>
    <s v="Rascunho"/>
    <s v="ADM/TÉCNICO/ASSISTENTE/ESTAG."/>
  </r>
  <r>
    <s v="FB0155992"/>
    <s v="Mudança de extintor"/>
    <s v="Em andamento"/>
    <s v="O extintor de incêndio, localizado ao lado do espaço de trabalho da Fabrízia, possui uma localização ruim que limita um pouco a chegada e fica numa área onde as pessoas costumam sentar para tratar temas com a BP. Existe um local próximo a TV que parece ideal para nova localização, onde já existe um ponto de hidrante para uso em uma possível situação de risco."/>
    <x v="87"/>
    <s v="Pequena mudança local"/>
    <s v="Safety - Health"/>
    <x v="540"/>
    <s v="09.10 Escritórios administrativos"/>
    <d v="2026-07-14T10:27:31"/>
    <s v="Tiago Carvalho"/>
    <s v="APROVADORES DE IDEIAS"/>
    <m/>
    <s v="Aguardando Execução "/>
    <s v="ADM/TÉCNICO/ASSISTENTE/ESTAG."/>
  </r>
  <r>
    <s v="FB0156112"/>
    <s v="Digitalização de paradas da moagem"/>
    <s v="Resolvido"/>
    <s v="Criar um aplicativo capaz de realizar os apontamentos das paradas da moagem, eliminando os registros em papel e trazendo mais agilidade ao processo. Dessa forma, não seria mais necessário digitar manualmente na árvore de perdas, pois o sistema faria a atualização automaticamente."/>
    <x v="50"/>
    <s v="Pequena mudança local"/>
    <s v="Processo"/>
    <x v="541"/>
    <s v="03. MOAGEM"/>
    <d v="2026-09-09T13:40:21"/>
    <m/>
    <s v="APROVADORES DE IDEIAS"/>
    <m/>
    <s v="Resolvido"/>
    <s v="OPERAÇÃO"/>
  </r>
  <r>
    <s v="FB0156151"/>
    <s v="Instalação de suporte para materiais de limpeza na área das peneiras"/>
    <s v="Resolvido"/>
    <s v="A instalação de um suporte para pá e vassoura proporcionará melhor organização, fácil acesso aos utensílios e maior agilidade na limpeza da área. Seria muito bom instalar um para a área das Fabrimas e outro na PKD"/>
    <x v="71"/>
    <s v="Pequena mudança local"/>
    <s v="Organisation of work"/>
    <x v="542"/>
    <s v="04. EMPACOTAMENTO"/>
    <d v="2026-09-17T13:57:47"/>
    <m/>
    <s v="APROVADORES DE IDEIAS"/>
    <m/>
    <s v="Aguardando Orçamento"/>
    <s v="ADM/TÉCNICO/ASSISTENTE/ESTAG."/>
  </r>
  <r>
    <s v="FB0156168"/>
    <s v="Porta crachá com cordão retrátil "/>
    <s v="Cancelado"/>
    <s v="Atualmente a fábrica implementou o uso de roletas com bloqueio de acesso a locais da fábrica, com isso passou a ser necessário o uso constante do crachá de identificação e de acesso as areas da fábrica. Na maioria dos casos ao passar na catraca é necessário abaixar para aproximar o cartão a catraca ou retirar o crachá do pescoço ou bolso, afetando a ergonomia dos funcionários que circulam pela fabrica muitas vezes ao dia._x000a__x000a_O porta crachá com cordão retrátil, permite que você puxe o crachá até a roleta, não necessitando a retida do mesmo ou abaixar para se aproximar da roleta. Dependendo do modelo escolhido é possível também que o funcionário coloque o crachá preso ao uniforme no ponto que se sentir mais confortável de usar. _x000a_"/>
    <x v="83"/>
    <s v="Pequena mudança local"/>
    <s v="Organisation of work"/>
    <x v="543"/>
    <s v="06. ADMINISTRATIVO"/>
    <d v="2026-09-04T15:30:45"/>
    <m/>
    <s v="APROVADORES DE IDEIAS"/>
    <d v="2026-09-04T15:30:45"/>
    <s v="Cancelado"/>
    <s v="ADM/TÉCNICO/ASSISTENTE/ESTAG."/>
  </r>
  <r>
    <s v="FB0156301"/>
    <s v="Relógio "/>
    <s v="Resolvido"/>
    <s v="Entrar em contato com o pessoal da programação se possível colocar um relógio na área demarcada para acompanhar o horário de análise e também no final de turno para ter mais precisão ao desligar a máquina. _x000a__x000a_Relton, por favor, ver com a EGE. "/>
    <x v="1"/>
    <s v="Pequena mudança local"/>
    <s v="Organisation of work"/>
    <x v="544"/>
    <s v="01. LINHA 01"/>
    <d v="2026-07-08T10:26:14"/>
    <s v="Relton Moraes"/>
    <s v="APROVADORES DE IDEIAS"/>
    <m/>
    <s v="Resolvido"/>
    <s v="OPERAÇÃO"/>
  </r>
  <r>
    <s v="FB0156312"/>
    <s v="Câmera na área da revisão - acompanhamento ao longo do turno"/>
    <s v="Rascunho"/>
    <s v="Posicionar uma câmera adicional ao sistema de gestão das câmeras da manutenção (as que cobrem máquina e robô) ou de Facilities (que cobre as imagens do torrador), para que possamos acompanhar a área de revisão da sala de liderança. Há muito deslocamento para a área para verificar a situação ou acompanhar se pallets foram retornados. Isso traz autonomia pra gestão do turno e garente que menos pallets fiquem para trás, porque gerimos melhor aquela área junto do time e evitando gerar impacto em RFT. _x000a__x000a_(Obs: Eli pode ajudar a entender o custo para implantar + adição no contrato mensal pra manter essa imagem)"/>
    <x v="13"/>
    <s v="Pequena mudança local"/>
    <s v="Organisation of work"/>
    <x v="545"/>
    <s v="04. EMPACOTAMENTO"/>
    <d v="2026-06-25T11:18:09"/>
    <m/>
    <s v="APROVADORES DE IDEIAS"/>
    <m/>
    <s v="Rascunho"/>
    <s v="ADM/TÉCNICO/ASSISTENTE/ESTAG."/>
  </r>
  <r>
    <s v="FB0156313"/>
    <s v="TV de monitoramento (igual as imagens disponíveis no supervisório) - instalada na sala da liderança"/>
    <s v="Rascunho"/>
    <s v="Instalar uma TV com as mesmas imagens dos torradores aqui dentro do container. É importante por vias de segurança e gestão da área que consigamos ver a situação de uma área crítica. Podemos identificar também fagulhas, vazamentos, áreas com acúmulo de pó em uma área ATEX e direcionar as contingências de forma mais rápida. "/>
    <x v="13"/>
    <s v="Pequena mudança local"/>
    <s v="Cost (GE, rework)"/>
    <x v="546"/>
    <s v="06. ADMINISTRATIVO"/>
    <d v="2026-07-03T11:31:55"/>
    <m/>
    <s v="APROVADORES DE IDEIAS"/>
    <m/>
    <s v="Rascunho"/>
    <s v="ADM/TÉCNICO/ASSISTENTE/ESTAG."/>
  </r>
  <r>
    <s v="FB0156324"/>
    <s v="Adicionar um banco próximo à árvore para proporcionar um espaço de descanso e convivência aos colaboradores durante o período pós-almoço"/>
    <s v="Cancelado"/>
    <s v="Disponibilizar um espaço ao ar livre para descanso e convivência dos colaboradores durante os intervalos, bem-estar e integração da equipe."/>
    <x v="92"/>
    <s v="Pequena mudança local"/>
    <s v="Organisation of work"/>
    <x v="547"/>
    <s v="06. ADMINISTRATIVO"/>
    <d v="2026-09-04T15:38:56"/>
    <m/>
    <s v="APROVADORES DE IDEIAS"/>
    <d v="2026-09-04T15:38:56"/>
    <s v="Cancelado"/>
    <s v="ADM/TÉCNICO/ASSISTENTE/ESTAG."/>
  </r>
  <r>
    <s v="FB0156490"/>
    <s v="Magazine de pacotes"/>
    <s v="Em andamento"/>
    <s v="Realizar a duplicação  do ponto de abertura ou fechamento do magazine de pacotes nos pontos sugeridos . _x000a_Para eliminar na necessidade do operador ir do outro lado da máquina ,pois operador passa a maior parte da operação do lado sugerindo a colocação dos pontos._x000a_Ideia discutida com Henrique Cardoso."/>
    <x v="1"/>
    <s v="Pequena mudança local"/>
    <s v="Organisation of work"/>
    <x v="548"/>
    <s v="01. LINHA 01"/>
    <d v="2026-06-29T18:10:00"/>
    <s v="Ana Martins"/>
    <s v="APROVADORES DE IDEIAS"/>
    <m/>
    <s v="Aguardando Orçamento"/>
    <s v="OPERAÇÃO"/>
  </r>
  <r>
    <s v="FB0156495"/>
    <s v="Instalação de uma luz de emergencia no container de manufatura "/>
    <s v="Em andamento"/>
    <s v="Atualmente nas quedas de energia no container de manufatura não tem uma luz de emergencia, instalar uma na tomada aérea que já tem aqui "/>
    <x v="71"/>
    <s v="Pequena mudança local"/>
    <s v="Safety - Health"/>
    <x v="549"/>
    <s v="04. EMPACOTAMENTO"/>
    <d v="2026-08-17T10:48:03"/>
    <s v="Anderson Santana"/>
    <s v="APROVADORES DE IDEIAS"/>
    <m/>
    <s v="Aguardando Execução "/>
    <s v="ADM/TÉCNICO/ASSISTENTE/ESTAG."/>
  </r>
  <r>
    <s v="FB0157271"/>
    <s v="Fazer um puxador, para facilitar na troca do balde de rejeito do detector de metal "/>
    <s v="Rascunho"/>
    <s v="Fazer um puxador, para facilitar na troca do balde de rejeito do detector de metal"/>
    <x v="38"/>
    <s v="Pequena mudança local"/>
    <m/>
    <x v="550"/>
    <s v="01. LINHA 01"/>
    <d v="2026-07-01T20:37:37"/>
    <m/>
    <s v="APROVADORES DE IDEIAS"/>
    <m/>
    <s v="Rascunho"/>
    <s v="OPERAÇÃO"/>
  </r>
  <r>
    <s v="FB0157432"/>
    <s v="caixa de máscaras com válvulas"/>
    <s v="Cancelado"/>
    <s v="Mais práticos paras nos funcionários pegar e usar "/>
    <x v="63"/>
    <s v="Pequena mudança local"/>
    <s v="Organisation of work"/>
    <x v="551"/>
    <s v="04. LINHA 04"/>
    <d v="2026-09-09T15:02:36"/>
    <m/>
    <s v="APROVADORES DE IDEIAS"/>
    <d v="2026-09-09T15:02:36"/>
    <s v="Cancelado"/>
    <s v="OPERAÇÃO"/>
  </r>
  <r>
    <s v="FB0157443"/>
    <s v="padronização da alimentação do moinho 2"/>
    <s v="Rascunho"/>
    <s v="Integrantes da ideia: arthur, fabio, Igor, Marcao_x000a_A ideia consiste na montagem de um servo de alimentação, juntamente com suas cremalheiras e uma regua de alimentação compativel com o sistema. sera necessario tambem a montagem de 2 novas polias para o acionamento do rolo alimentador com o motor do lado A._x000a_Sera necessario serviço de usinagem e moinho parado minimo 3 dias."/>
    <x v="12"/>
    <s v="Pequena mudança local"/>
    <s v="Cost (GE, rework)"/>
    <x v="552"/>
    <s v="02. MOAGEM LINHA 02"/>
    <d v="2026-07-15T21:21:01"/>
    <m/>
    <s v="APROVADORES DE IDEIAS"/>
    <m/>
    <s v="Rascunho"/>
    <s v="ADM/TÉCNICO/ASSISTENTE/ESTAG."/>
  </r>
  <r>
    <s v="FB0157444"/>
    <s v="padronização da vazão do moinho 5"/>
    <s v="Rascunho"/>
    <s v="Integrantes da ideia: arthur, fabio, Igor, Marcao_x000a_A ideia consiste na montagem de um servo de alimentação, juntamente com suas cremalheiras e uma regua de alimentação compativel com o sistema. sera necessario tambem a montagem de 2 novas polias para o acionamento do rolo alimentador com o motor do lado A._x000a_Sera necessario serviço de usinagem e moinho parado minimo 3 dias."/>
    <x v="12"/>
    <s v="Pequena mudança local"/>
    <m/>
    <x v="553"/>
    <s v="05. MOAGEM LINHA 05"/>
    <d v="2026-07-02T20:28:55"/>
    <m/>
    <s v="APROVADORES DE IDEIAS"/>
    <m/>
    <s v="Rascunho"/>
    <s v="ADM/TÉCNICO/ASSISTENTE/ESTAG."/>
  </r>
  <r>
    <s v="FB0157458"/>
    <s v="Caixa de carregador pra tablete café cru"/>
    <s v="Em andamento"/>
    <s v="Estalar uma caixinha de carregador para carregar o tablete do café cru "/>
    <x v="63"/>
    <s v="Pequena mudança local"/>
    <s v="Organisation of work"/>
    <x v="554"/>
    <s v="04. LINHA 04"/>
    <d v="2026-09-18T09:50:35"/>
    <m/>
    <s v="APROVADORES DE IDEIAS"/>
    <m/>
    <s v="Rascunho"/>
    <s v="OPERAÇÃO"/>
  </r>
  <r>
    <s v="FB0157517"/>
    <s v="Adicionar ponto de tomada ao lado da peneira 01 e das peneiras 02/03 para usar aspirador"/>
    <s v="Em andamento"/>
    <s v="Adicionar pontos de tomada para utilização de aspirador de pó durante a limpeza das peneiras, visando garantir que a área fique sempre limpa e que a atividade seja realizada de forma mais ágil. "/>
    <x v="13"/>
    <s v="Pequena mudança local"/>
    <s v="Organisation of work"/>
    <x v="555"/>
    <s v="04. EMPACOTAMENTO"/>
    <d v="2026-07-03T13:16:01"/>
    <s v="Ana Martins"/>
    <s v="APROVADORES DE IDEIAS"/>
    <m/>
    <s v="Aguardando Orçamento"/>
    <s v="ADM/TÉCNICO/ASSISTENTE/ESTAG."/>
  </r>
  <r>
    <s v="FB0157549"/>
    <s v="Adaptação do silo de serviço."/>
    <s v="Rascunho"/>
    <s v="Afim de diminuir o travamento causado por acúmulo de poeira, na parte inferior das roscas do silo de serviço, a sugestão é colocar uma “tela forte”, na parte de baixo. Com a trepidação do aparelho, o pó irá sair por esta tela, e cair em uma calha removível, que poderá ser esvaziada sempre que necessário."/>
    <x v="21"/>
    <s v="Pequena mudança local"/>
    <m/>
    <x v="556"/>
    <s v="01. CAFÉ CRU"/>
    <d v="2026-07-04T09:41:44"/>
    <m/>
    <s v="APROVADORES DE IDEIAS"/>
    <m/>
    <s v="Rascunho"/>
    <s v="OPERAÇÃO"/>
  </r>
  <r>
    <s v="FB0157790"/>
    <s v="Substituir as rodinhas dos carrinhos de reprocessos do empacotamento"/>
    <s v="Em andamento"/>
    <s v="As rodinhas hoje são incompatíveis com o peso transportado pelos carrinhos, muitas vezes de 40 - 50kg. Elas travam e dificultam o processo de transporte até a moagem exigindo esforço excessivo. Além de riscar todo o piso. Sugestão é trocar por outros rodízios com capacidade para 80kg, como do exemplo no link e como foto anexa a ideia. _x000a_https://www.gadotticar.com.br/produto/rodizio-4-polegadas-giratorio"/>
    <x v="13"/>
    <s v="Pequena mudança local"/>
    <s v="Safety - Health"/>
    <x v="557"/>
    <s v="04. EMPACOTAMENTO"/>
    <d v="2026-07-06T17:37:26"/>
    <m/>
    <s v="APROVADORES DE IDEIAS"/>
    <m/>
    <s v="Aguardando material "/>
    <s v="ADM/TÉCNICO/ASSISTENTE/ESTAG."/>
  </r>
  <r>
    <s v="FB0158199"/>
    <s v="redução de descarte da peneira rotativa "/>
    <s v="Em andamento"/>
    <s v="Ao realizar a atividade de limpeza das peneiras rotativas, tem descartado muito café bom porque a rota está cheia de café,sugiro que antes de finalizar a produção do 3º turno na quarta feira seja realizado a limpeza da rota conforme é feito no sábado no 2º turno"/>
    <x v="81"/>
    <s v="Pequena mudança local"/>
    <s v="Yeld"/>
    <x v="558"/>
    <s v="04. EMPACOTAMENTO"/>
    <d v="2026-07-14T12:39:18"/>
    <m/>
    <s v="APROVADORES DE IDEIAS"/>
    <m/>
    <s v="Aguardando Execução "/>
    <s v="OPERAÇÃO"/>
  </r>
  <r>
    <s v="FB0158899"/>
    <s v="Modificação do ponto de bloqueio da encaixotadora"/>
    <s v="Resolvido"/>
    <s v="realizar confeção de um suporte e furo na manopla do registro de ar comprimido do ponto de bloqueio pneumatico 2 para que nao seja necessario a utilização da peça auxiliar de bloqeuio pneumatico"/>
    <x v="12"/>
    <s v="Pequena mudança local"/>
    <s v="Safety - Health"/>
    <x v="559"/>
    <s v="01. LINHA 01"/>
    <d v="2026-08-03T11:23:43"/>
    <m/>
    <s v="APROVADORES DE IDEIAS"/>
    <m/>
    <s v="Resolvido"/>
    <s v="ADM/TÉCNICO/ASSISTENTE/ESTAG."/>
  </r>
  <r>
    <s v="FB0159434"/>
    <s v=" Criar tubulação para aspirador de po acima dos silos do cafe cru"/>
    <s v="Em andamento"/>
    <s v="ideia de: Wallace e Arthur_x000a_Ideia consiste em criar uma tubulação de pvc com conexão para mangueira do aspirador com intuito de facilitar a limpeza do pó acima dos silos do cafe cru._x000a__x000a_SHE: Aprovado._x000a_QUALIDADE: Aprovado."/>
    <x v="12"/>
    <s v="Pequena mudança local"/>
    <s v="Organisation of work"/>
    <x v="560"/>
    <s v="03. SILOS"/>
    <d v="2026-09-15T08:55:26"/>
    <m/>
    <s v="APROVADORES DE IDEIAS"/>
    <m/>
    <s v="Rascunho"/>
    <s v="ADM/TÉCNICO/ASSISTENTE/ESTAG."/>
  </r>
  <r>
    <s v="FB0159593"/>
    <s v="Confecção e instalação de um tubo para aspiração do fosso do cafe cru"/>
    <s v="Em andamento"/>
    <s v="Ideia de: Wallace e Arthur _x000a_Consiste em colocar um tubo de pvc descendo para dentro do fosso para engate de mangueira de aspirador para facilitar a limpeza do local"/>
    <x v="12"/>
    <s v="Pequena mudança local"/>
    <s v="Organisation of work"/>
    <x v="561"/>
    <s v="01. ELEVADOR CANECAS"/>
    <d v="2026-09-15T08:54:22"/>
    <m/>
    <s v="APROVADORES DE IDEIAS"/>
    <m/>
    <s v="Rascunho"/>
    <s v="ADM/TÉCNICO/ASSISTENTE/ESTAG."/>
  </r>
  <r>
    <s v="FB0159911"/>
    <s v="Led Bomba PKD"/>
    <s v="Rascunho"/>
    <s v="Instalação de 3 led para indicar que as Bombas estão ligadas "/>
    <x v="93"/>
    <s v="Pequena mudança local"/>
    <s v="Product"/>
    <x v="562"/>
    <s v="01. LINHA 01"/>
    <d v="2026-07-23T17:41:05"/>
    <m/>
    <s v="APROVADORES DE IDEIAS"/>
    <m/>
    <s v="Rascunho"/>
    <s v="ADM/TÉCNICO/ASSISTENTE/ESTAG."/>
  </r>
  <r>
    <s v="FB0159914"/>
    <s v="Tomada nos motores das peliculas e cinza "/>
    <s v="Rascunho"/>
    <s v="Realizado instalação de plugs nos motores para facilitar manutenção mecânica, gerando ganho de MO e tempo de execução da atividade. _x000a__x000a_SHE: Deixar em standby - Precisamos analisar com calma. Temos riscos quanto ao LOTOTO para esta melhoria"/>
    <x v="93"/>
    <s v="Pequena mudança local"/>
    <s v="Processo"/>
    <x v="563"/>
    <s v="08. BIOMASSA"/>
    <d v="2026-09-15T09:19:55"/>
    <m/>
    <s v="APROVADORES DE IDEIAS"/>
    <m/>
    <s v="Rascunho"/>
    <s v="ADM/TÉCNICO/ASSISTENTE/ESTAG."/>
  </r>
  <r>
    <s v="FB0159929"/>
    <s v="eliminar ponto de bloqueio de ar 1 na pkd"/>
    <s v="Rascunho"/>
    <s v="eliminar ponto de bloqueio de ar 1 na pkd, _x000a_A ideia consiste na eliminação da necessidade de bloqueio, pois os pontos 1 e 2 são redundantes, os dois pontos bloqueiam os mesmos pontos_x000a__x000a_SHE terá que atualizar o quadro de bloqueio retirando o ponto do quadro e assim facilitar a visualização "/>
    <x v="12"/>
    <s v="Pequena mudança local"/>
    <s v="Safety - Health"/>
    <x v="564"/>
    <s v="01. LINHA 01"/>
    <d v="2026-07-23T20:15:59"/>
    <m/>
    <s v="APROVADORES DE IDEIAS"/>
    <m/>
    <s v="Rascunho"/>
    <s v="ADM/TÉCNICO/ASSISTENTE/ESTAG."/>
  </r>
  <r>
    <s v="FB0160019"/>
    <s v="trocar as fechadura das peneiras 1e 2 "/>
    <s v="Rascunho"/>
    <s v="Trocar as fechaduras das peneira 01 e peneira 02 e ficar igual a da peneira 03 "/>
    <x v="81"/>
    <s v="Pequena mudança local"/>
    <m/>
    <x v="565"/>
    <s v="04. EMPACOTAMENTO"/>
    <d v="2026-07-24T11:43:30"/>
    <m/>
    <s v="APROVADORES DE IDEIAS"/>
    <m/>
    <s v="Rascunho"/>
    <s v="OPERAÇÃO"/>
  </r>
  <r>
    <s v="FB0160124"/>
    <s v="Cross-functional Job Shadowing - OPERAÇÃO"/>
    <s v="Cancelado"/>
    <s v="Algumas pessoas da operação tem vontade de passar para área administrativa, uns estão estudando e buscando uma oportunidade, outros tem uma visão de que é um trabalho confortável, sem entender a responsabilidade/peso de cada cadeira. Seria interessante se pudessem passar um dia com a área que eles tem vontade de trabalhar futuramente, para conhecer e entender se é realmente o que gostariam e assim a gente também ter a oportunidade de mostrar, que por trás de cada notebook tem muito trabalho envolvido e que não é tão simples e fácil quanto parece ser. E também podemos mostrar o impacto que o trabalho da operação, tem pra nós administrativo, o quanto são importantes. _x000a__x000a_Para o time administrativo isso é mais simples, podemos fazer mentoria com outras áreas, somos desenvolvidos pela liderança, para a operação isso não acontece da mesma forma. _x000a__x000a_Poderiam criar um programa e os associados interessados fazem o cadastro para conhecer as áreas, talvez ser um plus para o programa de capacitação da operação, tipo um &quot;passaporte de conexões&quot;. "/>
    <x v="44"/>
    <s v="Pequena mudança local"/>
    <s v="Organisation of work"/>
    <x v="566"/>
    <s v="01. JDE CAFES DO BRASIL UNIDADE PIUMHI"/>
    <d v="2026-07-28T11:31:38"/>
    <m/>
    <s v="APROVADORES DE IDEIAS"/>
    <d v="2026-07-28T11:31:38"/>
    <s v="Cancelado"/>
    <s v="ADM/TÉCNICO/ASSISTENTE/ESTAG."/>
  </r>
  <r>
    <s v="FB0160471"/>
    <s v="USO ESTRATÉGICO DO DMOS"/>
    <s v="Rascunho"/>
    <s v="Mensalmente, enviamos diversos BOSS E BOSQ através do DMOS, como parte da nossa meta e também para exercer nosso papel enquanto colaborador empenhado com o valor seja dono. Porém, essas informações, não são utilizadas de forma estratégica a fim de entender os problemas e trabalhar para conscientização e resolução dos problemas identificados etiquetas. "/>
    <x v="87"/>
    <s v="Pequena mudança local"/>
    <m/>
    <x v="567"/>
    <s v="09.10 Escritórios administrativos"/>
    <d v="2026-09-17T17:58:51"/>
    <m/>
    <s v="APROVADORES DE IDEIAS"/>
    <m/>
    <s v="Rascunho"/>
    <s v="ADM/TÉCNICO/ASSISTENTE/ESTAG."/>
  </r>
  <r>
    <s v="FB0160773"/>
    <s v="DEFLETOR - AR CONDICIONADO"/>
    <s v="Resolvido"/>
    <s v="Instalar um defletor no ar condicionado do almoxarifado, a ventilação bate diretamente nas pessoas e gera incomodo. "/>
    <x v="44"/>
    <s v="Pequena mudança local"/>
    <s v="Organisation of work"/>
    <x v="568"/>
    <s v="01. JDE CAFES DO BRASIL UNIDADE PIUMHI"/>
    <d v="2026-08-17T10:41:25"/>
    <m/>
    <s v="APROVADORES DE IDEIAS"/>
    <m/>
    <s v="Resolvido"/>
    <s v="ADM/TÉCNICO/ASSISTENTE/ESTAG."/>
  </r>
  <r>
    <s v="FB0160774"/>
    <s v="Grade de Proteção nas laterais dos magazines "/>
    <s v="Em andamento"/>
    <s v="Grade de proteção para as laterais dos magazines é os vãos na retirada dos paletes das fabrimas,diminuindo o risco de pessoas passar nos vãos e gerar um acidente com o robô em funcionamento."/>
    <x v="47"/>
    <s v="Pequena mudança local"/>
    <s v="Safety - Health"/>
    <x v="569"/>
    <s v="04. EMPACOTAMENTO"/>
    <d v="2026-07-30T14:56:08"/>
    <m/>
    <s v="APROVADORES DE IDEIAS"/>
    <m/>
    <s v="Aguardando Orçamento"/>
    <s v="OPERAÇÃO"/>
  </r>
  <r>
    <s v="FB0160775"/>
    <s v="instalação de escada área logística "/>
    <s v="Resolvido"/>
    <s v="Escada instalada na área logística para eliminar o risco de atropelamento ."/>
    <x v="47"/>
    <s v="Pequena mudança local"/>
    <s v="Organisation of work"/>
    <x v="570"/>
    <s v="07. AREAS EXTERNAS"/>
    <d v="2026-09-04T11:35:47"/>
    <m/>
    <s v="APROVADORES DE IDEIAS"/>
    <m/>
    <s v="Resolvido"/>
    <s v="OPERAÇÃO"/>
  </r>
  <r>
    <s v="FB0161007"/>
    <s v="melhoria no ponto de bloqueio de ar comprimido da esteira alpino"/>
    <s v="Resolvido"/>
    <s v="realizar a confecção de um suporte para que não seja necessario usar uma peça a mais na hora do bloqueio apenas o cadeado"/>
    <x v="12"/>
    <s v="Pequena mudança local"/>
    <s v="Safety - Health"/>
    <x v="571"/>
    <s v="01. LINHA 01"/>
    <d v="2026-08-03T11:24:46"/>
    <m/>
    <s v="APROVADORES DE IDEIAS"/>
    <m/>
    <s v="Resolvido"/>
    <s v="ADM/TÉCNICO/ASSISTENTE/ESTAG."/>
  </r>
  <r>
    <s v="FB0161515"/>
    <s v="Adicionar no CIL mensal - Limpeza plataforma do Nederman+bombas de vácuo"/>
    <s v="Em andamento"/>
    <s v="Conforme saída de auditoria de BPF, adicionar ponto de limpeza da plataforma Nederman+bombas de vácuo no CIL mensal. "/>
    <x v="13"/>
    <s v="Pequena mudança local"/>
    <s v="Cost (GE, rework)"/>
    <x v="572"/>
    <s v="01. LINHA 01"/>
    <d v="2026-09-01T12:05:02"/>
    <s v="Valeria Yanez"/>
    <s v="APROVADORES DE IDEIAS"/>
    <m/>
    <s v="Aguardando Execução "/>
    <s v="ADM/TÉCNICO/ASSISTENTE/ESTAG."/>
  </r>
  <r>
    <s v="FB0161518"/>
    <s v="Adicionar no CIL mensal - Limpeza plataforma do Detector de metais PKD + Rosca "/>
    <s v="Em andamento"/>
    <s v="Conforme saída de auditoria de BPF, adicionar ponto de limpeza da plataforma do Detector de metais PKD + Rosca no CIL mensal. "/>
    <x v="13"/>
    <s v="Pequena mudança local"/>
    <s v="Organisation of work"/>
    <x v="573"/>
    <s v="01. LINHA 01"/>
    <d v="2026-09-01T12:04:50"/>
    <s v="Valeria Yanez"/>
    <s v="APROVADORES DE IDEIAS"/>
    <m/>
    <s v="Aguardando Execução "/>
    <s v="ADM/TÉCNICO/ASSISTENTE/ESTAG."/>
  </r>
  <r>
    <s v="FB0161549"/>
    <s v="farol sinalizador "/>
    <s v="Rascunho"/>
    <s v="Sinalizador de passagem de veículos, sinalizar aos pedestres que a passagem de veículos pesados para aumentar a atenção de todos._x000a__x000a_SHE: Aprovado."/>
    <x v="47"/>
    <s v="Pequena mudança local"/>
    <s v="Safety - Health"/>
    <x v="574"/>
    <s v="07. AREAS EXTERNAS"/>
    <d v="2026-08-17T09:10:07"/>
    <m/>
    <s v="APROVADORES DE IDEIAS"/>
    <m/>
    <s v="Rascunho"/>
    <s v="OPERAÇÃO"/>
  </r>
  <r>
    <s v="FB0161711"/>
    <s v="REGISTROS ON-TIME PARA PROBLEMAS NO PONTO"/>
    <s v="Resolvido"/>
    <s v="Essa ideia parte de um problema, relacionado ao mal funcionamento pontual. A expectativa, é que quando houver problemas com o batimento, o colaborador reporta através de um QR code, fixado próximo ao ponto. Executei um Power Automate teste e funcionou muito bem para extrair as informações do FORMS e encaminhar via e-mail, para partes interessadas. Imagino que a articulação principal, seja com gestores para entender possíveis evoluções e problemas que possam surgir a respeito."/>
    <x v="87"/>
    <s v="Pequena mudança local"/>
    <s v="Organisation of work"/>
    <x v="575"/>
    <s v="09.10 Escritórios administrativos"/>
    <d v="2026-09-01T10:41:47"/>
    <s v="Weverton Rodrigues"/>
    <s v="APROVADORES DE IDEIAS"/>
    <m/>
    <s v="Resolvido"/>
    <s v="ADM/TÉCNICO/ASSISTENTE/ESTAG."/>
  </r>
  <r>
    <s v="FB0162160"/>
    <s v="placa para informação "/>
    <s v="Rascunho"/>
    <s v="Placa para visualização de qual lado colocar a etiqueta no palete Strechadeira na carga para não locar a etiqueta e vertida ,Asegurando assertividade operacional "/>
    <x v="47"/>
    <s v="Pequena mudança local"/>
    <m/>
    <x v="576"/>
    <s v="08. LOGISTICA"/>
    <d v="2026-08-10T13:17:59"/>
    <m/>
    <s v="APROVADORES DE IDEIAS"/>
    <m/>
    <s v="Rascunho"/>
    <s v="OPERAÇÃO"/>
  </r>
  <r>
    <s v="FB0162195"/>
    <s v="melhoria para o mop"/>
    <s v="Rascunho"/>
    <s v="Ter opção de mostrar paradas não planejadas separadas _x000a_Quantidade de paradas do robô e quantidade de parada da fabrima_x000a_Pra ajudar no fechamento de relatórios "/>
    <x v="74"/>
    <s v="Pequena mudança local"/>
    <m/>
    <x v="577"/>
    <s v="02. LINHA 02"/>
    <d v="2026-08-11T00:07:52"/>
    <m/>
    <s v="APROVADORES DE IDEIAS"/>
    <m/>
    <s v="Rascunho"/>
    <s v="OPERAÇÃO"/>
  </r>
  <r>
    <s v="FB0162196"/>
    <s v="melhoria pro mop"/>
    <s v="Rascunho"/>
    <s v="Pra ter mais praticidade ,poderia ser colocado o reprocesso junto com a função de fechamento de relatório._x000a_Ai quanto colocasse a função de fechamento dê relatório, aparecesse junto a função de reprocesso ._x000a_Facilitando fechamento de relatórios e ajudando a parar de ficar avisando o próximo turno sobre o lançamento do reprocesso.( se um turno não lança, fica aparecendo que não foi lançado no próximo turno)"/>
    <x v="74"/>
    <s v="Pequena mudança local"/>
    <m/>
    <x v="578"/>
    <s v="02. LINHA 02"/>
    <d v="2026-08-11T00:15:19"/>
    <m/>
    <s v="APROVADORES DE IDEIAS"/>
    <m/>
    <s v="Rascunho"/>
    <s v="OPERAÇÃO"/>
  </r>
  <r>
    <s v="FB0162303"/>
    <s v="FLUXO DE REGISTRO ONBOARDING"/>
    <s v="Resolvido"/>
    <s v="Existem processos no onboarding que precisam ser analisados, em decorrência de um problema relatado pela gestora Michelle, com a dificuldade para auxiliar em uma emergência que teve na planta, devido a falta de visibilidade do número do cartão da UNIMED e um número de emergência de algum familiar, para situações necessárias._x000a__x000a_Pensando nisso, a ideia, é incluir no próprio momento inicial de onboarding (Seg de 08 ás 10h), um momento para leitura do qr-code e preenchimento das informações de emergência como: Nome e contato de emergência, número da carteirinha do Unimed CNU. Esse qr-code também gera via Power Automate, uma pendência de 30 dias para acompanhamento da entrega do crachá efetivo. "/>
    <x v="87"/>
    <s v="Pequena mudança local"/>
    <s v="Organisation of work"/>
    <x v="579"/>
    <s v="09.10 Escritórios administrativos"/>
    <d v="2026-09-01T10:42:17"/>
    <s v="Weverton Rodrigues"/>
    <s v="APROVADORES DE IDEIAS"/>
    <m/>
    <s v="Resolvido"/>
    <s v="ADM/TÉCNICO/ASSISTENTE/ESTAG."/>
  </r>
  <r>
    <s v="FB0162312"/>
    <s v="AUXILIO COM BENEFÍCIOS"/>
    <s v="Em andamento"/>
    <s v="Essa ideia surge de um problema com time entre a chegada do colaborador e seu acesso aos benefícios. Pensando nisso, verifiquei com o time, se seria possível a inclusão do ID 1 e 2 no próprio crachá provisório, garantindo que tenham acesso ás informações necessárias para acessar o BENEFLEX, bater o ponto e adquirir cafés com desconto em folha. A ideia é que ainda no primeiro dia, os colaboradores incluam os dependentes e atribuam os grãos de acordo com o que preferirem._x000a__x000a_Verifiquei que seria possível por exemplo, incluindo a portaria em cópia ao e-mail de onboarding, que contem a lista de novos associados. "/>
    <x v="87"/>
    <s v="Pequena mudança local"/>
    <s v="Organisation of work"/>
    <x v="580"/>
    <s v="09.10 Escritórios administrativos"/>
    <d v="2026-08-17T10:47:18"/>
    <s v="Weverton Rodrigues"/>
    <s v="APROVADORES DE IDEIAS"/>
    <m/>
    <s v="Aguardando Execução "/>
    <s v="ADM/TÉCNICO/ASSISTENTE/ESTAG."/>
  </r>
  <r>
    <s v="FB0162334"/>
    <s v="datador Fabrima 5"/>
    <s v="Rascunho"/>
    <s v="Na área de selecionar trabalho  da frabrima 5 tem várias predominâncias , que já não são mais usados, hoje só usamos 4 predominantes, realizar a retirada desses que não são mais usados , para garantir uma troca com segurança , evitar erros e retrabalho ou até mesmo impactos maiores  "/>
    <x v="19"/>
    <s v="Pequena mudança local"/>
    <m/>
    <x v="581"/>
    <s v="05. LINHA 05"/>
    <d v="2026-08-11T11:44:17"/>
    <m/>
    <s v="APROVADORES DE IDEIAS"/>
    <m/>
    <s v="Rascunho"/>
    <s v="OPERAÇÃO"/>
  </r>
  <r>
    <s v="FB0162502"/>
    <s v="embalagem fora do sacos"/>
    <s v="Rascunho"/>
    <s v="Fazer o descarte de maneira correta nas gaiolas. Fica  um ambiente mas organizado e agradável para receber visitas ou quem quer que seja."/>
    <x v="54"/>
    <s v="Pequena mudança local"/>
    <m/>
    <x v="582"/>
    <s v="01. JDE CAFES DO BRASIL UNIDADE PIUMHI"/>
    <d v="2026-08-12T17:29:20"/>
    <m/>
    <s v="APROVADORES DE IDEIAS"/>
    <m/>
    <s v="Rascunho"/>
    <s v="OPERAÇÃO"/>
  </r>
  <r>
    <s v="FB0162645"/>
    <s v="melhoria na  área das Strechadeira "/>
    <s v="Rascunho"/>
    <s v="Troca de peças quebráveis por de metais "/>
    <x v="47"/>
    <s v="Pequena mudança local"/>
    <m/>
    <x v="583"/>
    <s v="08. LOGISTICA"/>
    <d v="2026-08-13T17:24:02"/>
    <m/>
    <s v="APROVADORES DE IDEIAS"/>
    <m/>
    <s v="Rascunho"/>
    <s v="OPERAÇÃO"/>
  </r>
  <r>
    <s v="FB0163066"/>
    <s v="Válvula coleiro "/>
    <s v="Rascunho"/>
    <s v="Realizado a substituição da válvula da acionamento da cola, por uma deslocada do conjunto da pistola de aplicação de cola."/>
    <x v="93"/>
    <s v="Pequena mudança local"/>
    <m/>
    <x v="584"/>
    <s v="06. PALETIZADORAS DE FARDOS"/>
    <d v="2026-08-17T21:04:50"/>
    <m/>
    <s v="APROVADORES DE IDEIAS"/>
    <m/>
    <s v="Rascunho"/>
    <s v="ADM/TÉCNICO/ASSISTENTE/ESTAG."/>
  </r>
  <r>
    <s v="FB0163763"/>
    <s v="colocar fita refletiva"/>
    <s v="Rascunho"/>
    <s v="Colocar fita refletiva na área da logística para mais visibilidade onde a área no período noturno fica menos visíveis ._x000a_Para assim diminuir o risco de colisão com a grade._x000a__x000a__x000a_Ideia elaborada por Magno Geraldo "/>
    <x v="47"/>
    <s v="Pequena mudança local"/>
    <m/>
    <x v="585"/>
    <s v="04. LINHA 04"/>
    <d v="2026-08-22T12:59:08"/>
    <m/>
    <s v="APROVADORES DE IDEIAS"/>
    <m/>
    <s v="Rascunho"/>
    <s v="OPERAÇÃO"/>
  </r>
  <r>
    <s v="FB0164027"/>
    <s v="Mangueira do Rejeito"/>
    <s v="Rascunho"/>
    <s v="Trica da mangueira do rejeito da peneira 2, a mangueira que está não tem flexibilidade na hora da troca dos baldes, dificultando a troca dos baldes e retirada da tampa, causando sujidades na hora da troca. Recomendo uma mangueira com flexibilidade melhor, como a dos rejeitos da peneira 1 e 3 "/>
    <x v="14"/>
    <s v="Pequena mudança local"/>
    <m/>
    <x v="586"/>
    <s v="02. LINHA 02"/>
    <d v="2026-08-24T20:49:58"/>
    <m/>
    <s v="APROVADORES DE IDEIAS"/>
    <m/>
    <s v="Rascunho"/>
    <s v="OPERAÇÃO"/>
  </r>
  <r>
    <s v="FB0164176"/>
    <s v="Motores auxiliares para girar eixo com pá dos torradores"/>
    <s v="Rascunho"/>
    <s v="A ideia é ter motores a parte da operação normal do torradores para que em caso de falhas do torrador, apagão dos paineis de controle, quedas de energia, etc, os motores seja acionados paralelamente para girar os eixos com pás, energia dos torradores fornecida por geradores de energia. Horas o problema é ausencia das manivelas e horas é o peso em girar a manivela porque o café encharcado é muito pesado. "/>
    <x v="55"/>
    <s v="Pequena mudança local"/>
    <s v="Safety - Health"/>
    <x v="587"/>
    <s v="02. TORREFAÇÃO"/>
    <d v="2026-08-25T13:46:13"/>
    <m/>
    <s v="APROVADORES DE IDEIAS"/>
    <m/>
    <s v="Rascunho"/>
    <s v="ADM/TÉCNICO/ASSISTENTE/ESTAG."/>
  </r>
  <r>
    <s v="FB0164195"/>
    <s v="refletores na área de revisão de paletes"/>
    <s v="Rascunho"/>
    <s v="Falta de iluminação para os colaboradores fazer a verificação dos paletes estourados, com isso o trabalho às vezes tem que ser refeito mais de uma vez ."/>
    <x v="47"/>
    <s v="Pequena mudança local"/>
    <m/>
    <x v="588"/>
    <s v="01. JDE CAFES DO BRASIL UNIDADE PIUMHI"/>
    <d v="2026-08-25T17:55:58"/>
    <m/>
    <s v="APROVADORES DE IDEIAS"/>
    <m/>
    <s v="CANCELAR IDEIA REPETIDA"/>
    <s v="OPERAÇÃO"/>
  </r>
  <r>
    <s v="FB0164305"/>
    <s v="instalação de lâmpada no almoxarifado de inflamáveis"/>
    <s v="Em andamento"/>
    <s v="No turno da noite se torna impossível a retirada de materiais devido a baixa luminosidade. Solicito a instalação de uma lâmpada no interior do depósito ou de fora um refletor direcionado."/>
    <x v="88"/>
    <s v="Pequena mudança local"/>
    <s v="Organisation of work"/>
    <x v="589"/>
    <s v="01. JDE CAFES DO BRASIL UNIDADE PIUMHI"/>
    <d v="2026-09-01T12:00:50"/>
    <m/>
    <s v="APROVADORES DE IDEIAS"/>
    <m/>
    <s v="Rascunho"/>
    <s v="OPERAÇÃO"/>
  </r>
  <r>
    <s v="FB0164338"/>
    <s v="Área de descarte "/>
    <s v="Rascunho"/>
    <s v="Colocar um suporte para  pá e uma vassoura na área de descarte, para facilitar a limpeza do local e fica sempre organizado "/>
    <x v="38"/>
    <s v="Pequena mudança local"/>
    <m/>
    <x v="590"/>
    <s v="01. LINHA 01"/>
    <d v="2026-08-26T15:14:20"/>
    <m/>
    <s v="APROVADORES DE IDEIAS"/>
    <m/>
    <s v="Aguardando Execução "/>
    <s v="OPERAÇÃO"/>
  </r>
  <r>
    <s v="FB0164899"/>
    <s v="indentificar o tamanho do uniforme  do combate ao inserido e das botas "/>
    <s v="Em andamento"/>
    <s v="Mais prático para o brigadista utilizar o uniforme com mais clareza e rapidez ,ao necessitar utilizar se ouvir insedio "/>
    <x v="63"/>
    <s v="Pequena mudança local"/>
    <s v="Organisation of work"/>
    <x v="591"/>
    <s v="04. LINHA 04"/>
    <d v="2026-09-09T14:55:11"/>
    <m/>
    <s v="APROVADORES DE IDEIAS"/>
    <m/>
    <s v="Aguardando Validação"/>
    <s v="OPERAÇÃO"/>
  </r>
  <r>
    <s v="FB0164908"/>
    <s v="SENSORES DE PRESENÇA"/>
    <s v="Em andamento"/>
    <s v="Instalação de sensores de presença nas salas de reunião,para automatizar o desligamento da iluminação e ar condicionado. "/>
    <x v="44"/>
    <s v="Pequena mudança local"/>
    <s v="Cost (GE, rework)"/>
    <x v="592"/>
    <s v="01. JDE CAFES DO BRASIL UNIDADE PIUMHI"/>
    <d v="2026-08-31T19:01:34"/>
    <m/>
    <s v="APROVADORES DE IDEIAS"/>
    <m/>
    <s v="Cancelado"/>
    <s v="ADM/TÉCNICO/ASSISTENTE/ESTAG."/>
  </r>
  <r>
    <s v="FB0165012"/>
    <s v="instalação de lâmpada no almoxarifado de inflamáveis"/>
    <s v="Cancelado"/>
    <s v="No turno da noite se torna impossível a retirada de materiais devido a baixa luminosidade. Solicito a instalação de uma lâmpada no interior do depósito ou de fora um refletor direcionado."/>
    <x v="88"/>
    <s v="Pequena mudança local"/>
    <s v="Safety - Health"/>
    <x v="593"/>
    <s v="01. JDE CAFES DO BRASIL UNIDADE PIUMHI"/>
    <d v="2026-09-01T11:57:50"/>
    <m/>
    <s v="APROVADORES DE IDEIAS"/>
    <d v="2026-09-01T11:57:50"/>
    <s v="Rascunho"/>
    <s v="OPERAÇÃO"/>
  </r>
  <r>
    <s v="FB0165510"/>
    <s v="Manivelas com cabo maior para eixo com pás dos torradores 1,2 e 3"/>
    <s v="Rascunho"/>
    <s v="Manivelas com cabo maior para melhor atuação em caso de emergência nos torradores, pois as atuais possuem um cabo curto, sendo assim durante o giro dos eixos com pás é necessário uma enorme quantidade de força para gerar o movimento de giro dos motores, principalmente quando há café encharcado."/>
    <x v="5"/>
    <s v="Pequena mudança local"/>
    <m/>
    <x v="594"/>
    <s v="02. TORREFAÇÃO"/>
    <d v="2026-09-04T05:27:44"/>
    <m/>
    <s v="APROVADORES DE IDEIAS"/>
    <m/>
    <s v="Rascunho"/>
    <s v="OPERAÇÃO"/>
  </r>
  <r>
    <s v="FB0165581"/>
    <s v="Aplicativo para registro de paradas torradores"/>
    <s v="Resolvido"/>
    <s v="Desenvolvimento de um aplicativo para tornar o apontamento de paradas mais dinâmico e eficiente, com integração automática à Árvore de Perdas. A solução elimina a necessidade de registros em papel e reduz atividades manuais, evitando o processo de copiar e colar informações, garantindo maior agilidade, precisão e confiabilidade dos dados._x000a_Participantes: Moises e Flávia "/>
    <x v="50"/>
    <s v="Pequena mudança local"/>
    <s v="New software"/>
    <x v="595"/>
    <s v="01. JDE CAFES DO BRASIL UNIDADE PIUMHI"/>
    <d v="2026-09-18T09:36:54"/>
    <m/>
    <s v="APROVADORES DE IDEIAS"/>
    <m/>
    <s v="Resolvido"/>
    <s v="OPERAÇÃO"/>
  </r>
  <r>
    <s v="FB0165582"/>
    <s v="App para CIL"/>
    <s v="Resolvido"/>
    <s v="Desenvolvimento de um aplicativo para o CIL que disponibilize digitalmente todas as informações de cada ponto de controle, proporcionando maior eficiência operacional. A solução elimina a necessidade de utilização de papel para impressão, agiliza a conferência dos dados e disponibiliza as informações em tempo real. Além disso, facilita a validação das atividades realizadas, aumenta a confiabilidade dos registros e reduz a carga de trabalho da equipe, uma vez que atualmente existe uma pessoa dedicada exclusivamente a realizar esses apontamentos manualmente._x000a_Participantes: Moises e Flávia "/>
    <x v="50"/>
    <s v="Pequena mudança local"/>
    <s v="New software"/>
    <x v="596"/>
    <s v="01. JDE CAFES DO BRASIL UNIDADE PIUMHI"/>
    <d v="2026-09-18T09:37:54"/>
    <m/>
    <s v="APROVADORES DE IDEIAS"/>
    <m/>
    <s v="Aguardando Execução "/>
    <s v="OPERAÇÃO"/>
  </r>
  <r>
    <s v="FB0165583"/>
    <s v="Micro nas portas das câmaras dos torradores "/>
    <s v="Rascunho"/>
    <s v="Instalação de micro de segurança nas portas das câmaras de torra e resfriamento dos torradores, impedindo o início da operação quando qualquer porta estiver aberta."/>
    <x v="50"/>
    <s v="Pequena mudança local"/>
    <m/>
    <x v="597"/>
    <s v="02. TORREFAÇÃO"/>
    <d v="2026-09-04T15:54:40"/>
    <m/>
    <s v="APROVADORES DE IDEIAS"/>
    <m/>
    <s v="Rascunho"/>
    <s v="OPERAÇÃO"/>
  </r>
  <r>
    <s v="FB0166084"/>
    <s v="Limpeza do sensor de chama TD03"/>
    <s v="Resolvido"/>
    <s v="Incluir no plano da manutenção a limpeza do sensor de chama do torrador 03"/>
    <x v="86"/>
    <s v="Pequena mudança local"/>
    <s v="Processo"/>
    <x v="598"/>
    <s v="01. JDE CAFES DO BRASIL UNIDADE PIUMHI"/>
    <d v="2026-09-08T13:59:17"/>
    <m/>
    <s v="APROVADORES DE IDEIAS"/>
    <m/>
    <s v="Rascunho"/>
    <s v="ADM/TÉCNICO/ASSISTENTE/ESTAG."/>
  </r>
  <r>
    <s v="FB0166284"/>
    <s v="Criar um APP para execução do CIL "/>
    <s v="Resolvido"/>
    <s v="Desenvolvimento de um aplicativo para digitalizar e padronizar a execução do CIL, substituindo controles manuais e planilhas por uma ferramenta prática e de fácil utilização."/>
    <x v="86"/>
    <s v="Pequena mudança local"/>
    <s v="Organisation of work"/>
    <x v="599"/>
    <s v="01. JDE CAFES DO BRASIL UNIDADE PIUMHI"/>
    <d v="2026-09-17T10:01:23"/>
    <m/>
    <s v="APROVADORES DE IDEIAS"/>
    <m/>
    <s v="Rascunho"/>
    <s v="ADM/TÉCNICO/ASSISTENTE/ESTAG."/>
  </r>
  <r>
    <s v="FB0166449"/>
    <s v="FAIXA DE PEDESTRES - LOGÍSTICA"/>
    <s v="Em andamento"/>
    <s v="Não existe uma faixa de pedestres no &quot;caminho da logística&quot;, que é usado geralmente em dias de chuva de forma alternativa."/>
    <x v="87"/>
    <s v="Pequena mudança local"/>
    <s v="Safety - Health"/>
    <x v="600"/>
    <s v="09.10 Escritórios administrativos"/>
    <d v="2026-09-17T17:56:36"/>
    <m/>
    <s v="APROVADORES DE IDEIAS"/>
    <m/>
    <s v="Rascunho"/>
    <s v="ADM/TÉCNICO/ASSISTENTE/ESTAG."/>
  </r>
  <r>
    <s v="FB0167262"/>
    <s v="suporte de fita para trocar a bobina da raumak 2"/>
    <s v="Rascunho"/>
    <s v="Quando vai fazer a troca de bobina temos que pegar o colador e passar a fita colando uma bobina na outra,se tivesse um suporte na máquina para já deixar fixo uma fita onde já tem um imã na chapa ,facilitaria o operador na hora da troca ,diminuindo o tempo e sendo mais prático."/>
    <x v="94"/>
    <s v="Pequena mudança local"/>
    <s v="Cost (GE, rework)"/>
    <x v="601"/>
    <s v="02. LINHA 02"/>
    <d v="2026-09-17T18:01:46"/>
    <s v="Izabela Pugliesi"/>
    <s v="APROVADORES DE IDEIAS"/>
    <m/>
    <s v="Rascunho"/>
    <s v="OPERAÇÃO"/>
  </r>
  <r>
    <s v="FB0167269"/>
    <s v="Criação de suporte para cabos dos sensores das valvulas de pelicula do torrador 1"/>
    <s v="Rascunho"/>
    <s v="Wallace e Arthur_x000a_A ideia consiste na criação de um suporte guia para que os cabos nao encostem nas superficies quentes e venham a derreter gerando falha no torrador "/>
    <x v="12"/>
    <s v="Pequena mudança local"/>
    <s v="Cost (GE, rework)"/>
    <x v="602"/>
    <s v="02. TORREFAÇÃO"/>
    <d v="2026-09-16T20:17:36"/>
    <m/>
    <s v="APROVADORES DE IDEIAS"/>
    <m/>
    <s v="Rascunho"/>
    <s v="ADM/TÉCNICO/ASSISTENTE/ESTAG."/>
  </r>
  <r>
    <s v="FB0167270"/>
    <s v="Criação de suporte para cabos dos sensores das valvulas de pelicula do torrador 2"/>
    <s v="Rascunho"/>
    <s v="Wallace e Arthur_x000a_A ideia consiste na criação de um suporte guia para que os cabos nao encostem nas superficies quentes e venham a derreter gerando falha no torrador "/>
    <x v="12"/>
    <s v="Pequena mudança local"/>
    <s v="Cost (GE, rework)"/>
    <x v="603"/>
    <s v="02. TORREFAÇÃO"/>
    <d v="2026-09-16T20:19:30"/>
    <m/>
    <s v="APROVADORES DE IDEIAS"/>
    <m/>
    <s v="Rascunho"/>
    <s v="ADM/TÉCNICO/ASSISTENTE/ESTAG."/>
  </r>
  <r>
    <s v="FB0167540"/>
    <s v="Troca do visor da parte interna da câmara de torra por chapa inox "/>
    <s v="Rascunho"/>
    <s v="Atualmente nas câmaras de torra tem 2 visores de policarbonato, um na parte que fica visível para a passagem secreta e outro que fica internamente, sendo necessário abrir as portas do torrador para verificação. No entanto somente um visor na parte visível já é suficiente para acompanhar as torras em caso de quedas de energia, sendo o outro visor um risco a mais de peças críticas."/>
    <x v="26"/>
    <s v="Pequena mudança local"/>
    <m/>
    <x v="604"/>
    <s v="02. TORREFAÇÃO"/>
    <d v="2026-09-18T09:26:09"/>
    <m/>
    <s v="APROVADORES DE IDEIAS"/>
    <m/>
    <s v="Rascunho"/>
    <s v="ADM/TÉCNICO/ASSISTENTE/ESTAG."/>
  </r>
  <r>
    <s v="FB0167541"/>
    <s v="Película antiestilhaço nos visores de policarbonato "/>
    <s v="Rascunho"/>
    <s v="Aplicar película antiestilhaço nos visores dos torradores das câmaras de torra, esfriamento do Torrador 1 e 2  e cilindro de torra e esfriamento do Torrador 3 para que se houver algum rompimento não tenha riscos de ir fragmentos para o produto."/>
    <x v="26"/>
    <s v="Pequena mudança local"/>
    <m/>
    <x v="605"/>
    <s v="02. TORREFAÇÃO"/>
    <d v="2026-09-18T09:39:09"/>
    <m/>
    <s v="APROVADORES DE IDEIAS"/>
    <m/>
    <s v="Rascunho"/>
    <s v="ADM/TÉCNICO/ASSISTENTE/ESTAG."/>
  </r>
  <r>
    <m/>
    <m/>
    <m/>
    <m/>
    <x v="22"/>
    <m/>
    <m/>
    <x v="606"/>
    <m/>
    <m/>
    <m/>
    <m/>
    <m/>
    <m/>
    <m/>
  </r>
  <r>
    <m/>
    <m/>
    <m/>
    <m/>
    <x v="22"/>
    <m/>
    <m/>
    <x v="606"/>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6D1FE-5E87-45C1-B62F-419895824A87}"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4:D6" firstHeaderRow="1" firstDataRow="2" firstDataCol="1" rowPageCount="2" colPageCount="1"/>
  <pivotFields count="19">
    <pivotField showAll="0"/>
    <pivotField showAll="0"/>
    <pivotField showAll="0"/>
    <pivotField showAll="0"/>
    <pivotField dataField="1" showAll="0"/>
    <pivotField showAll="0"/>
    <pivotField showAll="0"/>
    <pivotField showAll="0">
      <items count="608">
        <item x="0"/>
        <item x="1"/>
        <item x="2"/>
        <item x="3"/>
        <item x="4"/>
        <item x="5"/>
        <item x="6"/>
        <item x="7"/>
        <item x="8"/>
        <item x="9"/>
        <item x="10"/>
        <item x="11"/>
        <item x="12"/>
        <item x="13"/>
        <item x="14"/>
        <item x="15"/>
        <item x="16"/>
        <item x="17"/>
        <item x="18"/>
        <item x="19"/>
        <item x="20"/>
        <item x="21"/>
        <item x="22"/>
        <item x="23"/>
        <item x="24"/>
        <item x="25"/>
        <item x="26"/>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7"/>
        <item x="528"/>
        <item x="529"/>
        <item x="530"/>
        <item x="531"/>
        <item x="532"/>
        <item x="606"/>
        <item x="533"/>
        <item x="534"/>
        <item x="525"/>
        <item x="526"/>
        <item x="535"/>
        <item x="536"/>
        <item x="538"/>
        <item x="539"/>
        <item x="540"/>
        <item x="541"/>
        <item x="542"/>
        <item x="543"/>
        <item x="544"/>
        <item x="545"/>
        <item x="546"/>
        <item x="547"/>
        <item x="548"/>
        <item x="549"/>
        <item x="550"/>
        <item x="551"/>
        <item x="552"/>
        <item x="553"/>
        <item x="554"/>
        <item x="555"/>
        <item x="556"/>
        <item x="557"/>
        <item x="558"/>
        <item x="537"/>
        <item x="559"/>
        <item x="560"/>
        <item x="561"/>
        <item x="562"/>
        <item x="563"/>
        <item x="564"/>
        <item x="565"/>
        <item x="566"/>
        <item x="27"/>
        <item x="28"/>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 axis="axisPage" multipleItemSelectionAllowed="1" showAll="0" defaultSubtotal="0">
      <items count="14">
        <item h="1" x="0"/>
        <item x="1"/>
        <item x="2"/>
        <item x="3"/>
        <item x="4"/>
        <item x="5"/>
        <item x="6"/>
        <item x="7"/>
        <item x="8"/>
        <item x="9"/>
        <item x="10"/>
        <item x="11"/>
        <item x="12"/>
        <item x="13"/>
      </items>
    </pivotField>
    <pivotField showAll="0" defaultSubtotal="0"/>
    <pivotField axis="axisPage" multipleItemSelectionAllowed="1" showAll="0" defaultSubtotal="0">
      <items count="5">
        <item h="1" x="1"/>
        <item h="1" x="2"/>
        <item x="3"/>
        <item h="1" x="0"/>
        <item h="1" x="4"/>
      </items>
    </pivotField>
  </pivotFields>
  <rowItems count="1">
    <i/>
  </rowItems>
  <colFields count="1">
    <field x="14"/>
  </colFields>
  <colItems count="3">
    <i>
      <x/>
    </i>
    <i>
      <x v="1"/>
    </i>
    <i t="grand">
      <x/>
    </i>
  </colItems>
  <pageFields count="2">
    <pageField fld="16" hier="-1"/>
    <pageField fld="18" hier="-1"/>
  </pageFields>
  <dataFields count="1">
    <dataField name="Contagem de Enviado po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6CBE4D-CEED-4FA7-9728-255714846906}" name="Tabela dinâ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5">
  <location ref="A3:F15" firstHeaderRow="1" firstDataRow="2" firstDataCol="1" rowPageCount="1" colPageCount="1"/>
  <pivotFields count="19">
    <pivotField showAll="0"/>
    <pivotField showAll="0"/>
    <pivotField axis="axisCol" showAll="0">
      <items count="7">
        <item n="INVALUABLE" x="0"/>
        <item n="IN PROGRESS " x="3"/>
        <item n="CLOSED" x="1"/>
        <item h="1" x="4"/>
        <item n="REALIZED" x="2"/>
        <item h="1" x="5"/>
        <item t="default"/>
      </items>
    </pivotField>
    <pivotField showAll="0"/>
    <pivotField showAll="0"/>
    <pivotField showAll="0"/>
    <pivotField axis="axisRow" dataField="1" showAll="0">
      <items count="13">
        <item x="4"/>
        <item x="5"/>
        <item x="8"/>
        <item x="0"/>
        <item x="2"/>
        <item x="6"/>
        <item x="3"/>
        <item x="1"/>
        <item x="7"/>
        <item x="9"/>
        <item x="10"/>
        <item m="1" x="11"/>
        <item t="default"/>
      </items>
    </pivotField>
    <pivotField showAll="0">
      <items count="608">
        <item x="0"/>
        <item x="1"/>
        <item x="2"/>
        <item x="3"/>
        <item x="4"/>
        <item x="5"/>
        <item x="6"/>
        <item x="7"/>
        <item x="8"/>
        <item x="9"/>
        <item x="10"/>
        <item x="11"/>
        <item x="12"/>
        <item x="13"/>
        <item x="14"/>
        <item x="15"/>
        <item x="16"/>
        <item x="17"/>
        <item x="18"/>
        <item x="19"/>
        <item x="20"/>
        <item x="21"/>
        <item x="22"/>
        <item x="23"/>
        <item x="24"/>
        <item x="25"/>
        <item x="26"/>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7"/>
        <item x="528"/>
        <item x="529"/>
        <item x="530"/>
        <item x="531"/>
        <item x="532"/>
        <item x="606"/>
        <item x="533"/>
        <item x="534"/>
        <item x="525"/>
        <item x="526"/>
        <item x="535"/>
        <item x="536"/>
        <item x="538"/>
        <item x="539"/>
        <item x="540"/>
        <item x="541"/>
        <item x="542"/>
        <item x="543"/>
        <item x="544"/>
        <item x="545"/>
        <item x="546"/>
        <item x="547"/>
        <item x="548"/>
        <item x="549"/>
        <item x="550"/>
        <item x="551"/>
        <item x="552"/>
        <item x="553"/>
        <item x="554"/>
        <item x="555"/>
        <item x="556"/>
        <item x="557"/>
        <item x="558"/>
        <item x="537"/>
        <item x="559"/>
        <item x="560"/>
        <item x="561"/>
        <item x="562"/>
        <item x="563"/>
        <item x="564"/>
        <item x="565"/>
        <item x="566"/>
        <item x="27"/>
        <item x="28"/>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showAll="0"/>
    <pivotField showAll="0"/>
    <pivotField showAll="0"/>
    <pivotField showAll="0"/>
    <pivotField showAll="0"/>
    <pivotField showAll="0"/>
    <pivotField showAll="0"/>
    <pivotField showAll="0" defaultSubtotal="0"/>
    <pivotField showAll="0" defaultSubtotal="0"/>
    <pivotField axis="axisPage" multipleItemSelectionAllowed="1" showAll="0" defaultSubtotal="0">
      <items count="5">
        <item h="1" x="1"/>
        <item h="1" x="2"/>
        <item x="3"/>
        <item h="1" x="0"/>
        <item h="1" x="4"/>
      </items>
    </pivotField>
  </pivotFields>
  <rowFields count="1">
    <field x="6"/>
  </rowFields>
  <rowItems count="11">
    <i>
      <x/>
    </i>
    <i>
      <x v="1"/>
    </i>
    <i>
      <x v="2"/>
    </i>
    <i>
      <x v="3"/>
    </i>
    <i>
      <x v="4"/>
    </i>
    <i>
      <x v="5"/>
    </i>
    <i>
      <x v="6"/>
    </i>
    <i>
      <x v="7"/>
    </i>
    <i>
      <x v="8"/>
    </i>
    <i>
      <x v="10"/>
    </i>
    <i t="grand">
      <x/>
    </i>
  </rowItems>
  <colFields count="1">
    <field x="2"/>
  </colFields>
  <colItems count="5">
    <i>
      <x/>
    </i>
    <i>
      <x v="1"/>
    </i>
    <i>
      <x v="2"/>
    </i>
    <i>
      <x v="4"/>
    </i>
    <i t="grand">
      <x/>
    </i>
  </colItems>
  <pageFields count="1">
    <pageField fld="18" hier="-1"/>
  </pageFields>
  <dataFields count="1">
    <dataField name="Contagem de Sub categoria" fld="6" subtotal="count" baseField="0" baseItem="0"/>
  </dataFields>
  <chartFormats count="34">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4"/>
          </reference>
        </references>
      </pivotArea>
    </chartFormat>
    <chartFormat chart="7" format="9" series="1">
      <pivotArea type="data" outline="0" fieldPosition="0">
        <references count="2">
          <reference field="4294967294" count="1" selected="0">
            <x v="0"/>
          </reference>
          <reference field="2" count="1" selected="0">
            <x v="0"/>
          </reference>
        </references>
      </pivotArea>
    </chartFormat>
    <chartFormat chart="7" format="10" series="1">
      <pivotArea type="data" outline="0" fieldPosition="0">
        <references count="2">
          <reference field="4294967294" count="1" selected="0">
            <x v="0"/>
          </reference>
          <reference field="2" count="1" selected="0">
            <x v="1"/>
          </reference>
        </references>
      </pivotArea>
    </chartFormat>
    <chartFormat chart="7" format="11" series="1">
      <pivotArea type="data" outline="0" fieldPosition="0">
        <references count="2">
          <reference field="4294967294" count="1" selected="0">
            <x v="0"/>
          </reference>
          <reference field="2" count="1" selected="0">
            <x v="4"/>
          </reference>
        </references>
      </pivotArea>
    </chartFormat>
    <chartFormat chart="9" format="21" series="1">
      <pivotArea type="data" outline="0" fieldPosition="0">
        <references count="2">
          <reference field="4294967294" count="1" selected="0">
            <x v="0"/>
          </reference>
          <reference field="2" count="1" selected="0">
            <x v="0"/>
          </reference>
        </references>
      </pivotArea>
    </chartFormat>
    <chartFormat chart="9" format="22" series="1">
      <pivotArea type="data" outline="0" fieldPosition="0">
        <references count="2">
          <reference field="4294967294" count="1" selected="0">
            <x v="0"/>
          </reference>
          <reference field="2" count="1" selected="0">
            <x v="1"/>
          </reference>
        </references>
      </pivotArea>
    </chartFormat>
    <chartFormat chart="9" format="23" series="1">
      <pivotArea type="data" outline="0" fieldPosition="0">
        <references count="2">
          <reference field="4294967294" count="1" selected="0">
            <x v="0"/>
          </reference>
          <reference field="2" count="1" selected="0">
            <x v="4"/>
          </reference>
        </references>
      </pivotArea>
    </chartFormat>
    <chartFormat chart="8" format="18" series="1">
      <pivotArea type="data" outline="0" fieldPosition="0">
        <references count="2">
          <reference field="4294967294" count="1" selected="0">
            <x v="0"/>
          </reference>
          <reference field="2" count="1" selected="0">
            <x v="0"/>
          </reference>
        </references>
      </pivotArea>
    </chartFormat>
    <chartFormat chart="8" format="19" series="1">
      <pivotArea type="data" outline="0" fieldPosition="0">
        <references count="2">
          <reference field="4294967294" count="1" selected="0">
            <x v="0"/>
          </reference>
          <reference field="2" count="1" selected="0">
            <x v="1"/>
          </reference>
        </references>
      </pivotArea>
    </chartFormat>
    <chartFormat chart="8" format="20" series="1">
      <pivotArea type="data" outline="0" fieldPosition="0">
        <references count="2">
          <reference field="4294967294" count="1" selected="0">
            <x v="0"/>
          </reference>
          <reference field="2" count="1" selected="0">
            <x v="4"/>
          </reference>
        </references>
      </pivotArea>
    </chartFormat>
    <chartFormat chart="9" format="27" series="1">
      <pivotArea type="data" outline="0" fieldPosition="0">
        <references count="2">
          <reference field="4294967294" count="1" selected="0">
            <x v="0"/>
          </reference>
          <reference field="2" count="1" selected="0">
            <x v="2"/>
          </reference>
        </references>
      </pivotArea>
    </chartFormat>
    <chartFormat chart="8" format="24" series="1">
      <pivotArea type="data" outline="0" fieldPosition="0">
        <references count="2">
          <reference field="4294967294" count="1" selected="0">
            <x v="0"/>
          </reference>
          <reference field="2" count="1" selected="0">
            <x v="2"/>
          </reference>
        </references>
      </pivotArea>
    </chartFormat>
    <chartFormat chart="5" format="14" series="1">
      <pivotArea type="data" outline="0" fieldPosition="0">
        <references count="2">
          <reference field="4294967294" count="1" selected="0">
            <x v="0"/>
          </reference>
          <reference field="2" count="1" selected="0">
            <x v="0"/>
          </reference>
        </references>
      </pivotArea>
    </chartFormat>
    <chartFormat chart="5" format="15" series="1">
      <pivotArea type="data" outline="0" fieldPosition="0">
        <references count="2">
          <reference field="4294967294" count="1" selected="0">
            <x v="0"/>
          </reference>
          <reference field="2" count="1" selected="0">
            <x v="1"/>
          </reference>
        </references>
      </pivotArea>
    </chartFormat>
    <chartFormat chart="5" format="16" series="1">
      <pivotArea type="data" outline="0" fieldPosition="0">
        <references count="2">
          <reference field="4294967294" count="1" selected="0">
            <x v="0"/>
          </reference>
          <reference field="2" count="1" selected="0">
            <x v="2"/>
          </reference>
        </references>
      </pivotArea>
    </chartFormat>
    <chartFormat chart="5" format="17" series="1">
      <pivotArea type="data" outline="0" fieldPosition="0">
        <references count="2">
          <reference field="4294967294" count="1" selected="0">
            <x v="0"/>
          </reference>
          <reference field="2" count="1" selected="0">
            <x v="4"/>
          </reference>
        </references>
      </pivotArea>
    </chartFormat>
    <chartFormat chart="14" format="18" series="1">
      <pivotArea type="data" outline="0" fieldPosition="0">
        <references count="2">
          <reference field="4294967294" count="1" selected="0">
            <x v="0"/>
          </reference>
          <reference field="2" count="1" selected="0">
            <x v="0"/>
          </reference>
        </references>
      </pivotArea>
    </chartFormat>
    <chartFormat chart="14" format="19" series="1">
      <pivotArea type="data" outline="0" fieldPosition="0">
        <references count="2">
          <reference field="4294967294" count="1" selected="0">
            <x v="0"/>
          </reference>
          <reference field="2" count="1" selected="0">
            <x v="1"/>
          </reference>
        </references>
      </pivotArea>
    </chartFormat>
    <chartFormat chart="14" format="20" series="1">
      <pivotArea type="data" outline="0" fieldPosition="0">
        <references count="2">
          <reference field="4294967294" count="1" selected="0">
            <x v="0"/>
          </reference>
          <reference field="2" count="1" selected="0">
            <x v="2"/>
          </reference>
        </references>
      </pivotArea>
    </chartFormat>
    <chartFormat chart="14" format="21" series="1">
      <pivotArea type="data" outline="0" fieldPosition="0">
        <references count="2">
          <reference field="4294967294" count="1" selected="0">
            <x v="0"/>
          </reference>
          <reference field="2" count="1" selected="0">
            <x v="4"/>
          </reference>
        </references>
      </pivotArea>
    </chartFormat>
    <chartFormat chart="15" format="22" series="1">
      <pivotArea type="data" outline="0" fieldPosition="0">
        <references count="2">
          <reference field="4294967294" count="1" selected="0">
            <x v="0"/>
          </reference>
          <reference field="2" count="1" selected="0">
            <x v="0"/>
          </reference>
        </references>
      </pivotArea>
    </chartFormat>
    <chartFormat chart="15" format="23" series="1">
      <pivotArea type="data" outline="0" fieldPosition="0">
        <references count="2">
          <reference field="4294967294" count="1" selected="0">
            <x v="0"/>
          </reference>
          <reference field="2" count="1" selected="0">
            <x v="1"/>
          </reference>
        </references>
      </pivotArea>
    </chartFormat>
    <chartFormat chart="15" format="24" series="1">
      <pivotArea type="data" outline="0" fieldPosition="0">
        <references count="2">
          <reference field="4294967294" count="1" selected="0">
            <x v="0"/>
          </reference>
          <reference field="2" count="1" selected="0">
            <x v="2"/>
          </reference>
        </references>
      </pivotArea>
    </chartFormat>
    <chartFormat chart="15" format="25" series="1">
      <pivotArea type="data" outline="0" fieldPosition="0">
        <references count="2">
          <reference field="4294967294" count="1" selected="0">
            <x v="0"/>
          </reference>
          <reference field="2" count="1" selected="0">
            <x v="4"/>
          </reference>
        </references>
      </pivotArea>
    </chartFormat>
    <chartFormat chart="23" format="18" series="1">
      <pivotArea type="data" outline="0" fieldPosition="0">
        <references count="2">
          <reference field="4294967294" count="1" selected="0">
            <x v="0"/>
          </reference>
          <reference field="2" count="1" selected="0">
            <x v="0"/>
          </reference>
        </references>
      </pivotArea>
    </chartFormat>
    <chartFormat chart="23" format="19" series="1">
      <pivotArea type="data" outline="0" fieldPosition="0">
        <references count="2">
          <reference field="4294967294" count="1" selected="0">
            <x v="0"/>
          </reference>
          <reference field="2" count="1" selected="0">
            <x v="1"/>
          </reference>
        </references>
      </pivotArea>
    </chartFormat>
    <chartFormat chart="23" format="20" series="1">
      <pivotArea type="data" outline="0" fieldPosition="0">
        <references count="2">
          <reference field="4294967294" count="1" selected="0">
            <x v="0"/>
          </reference>
          <reference field="2" count="1" selected="0">
            <x v="2"/>
          </reference>
        </references>
      </pivotArea>
    </chartFormat>
    <chartFormat chart="23" format="21" series="1">
      <pivotArea type="data" outline="0" fieldPosition="0">
        <references count="2">
          <reference field="4294967294" count="1" selected="0">
            <x v="0"/>
          </reference>
          <reference field="2" count="1" selected="0">
            <x v="4"/>
          </reference>
        </references>
      </pivotArea>
    </chartFormat>
    <chartFormat chart="24" format="22" series="1">
      <pivotArea type="data" outline="0" fieldPosition="0">
        <references count="2">
          <reference field="4294967294" count="1" selected="0">
            <x v="0"/>
          </reference>
          <reference field="2" count="1" selected="0">
            <x v="0"/>
          </reference>
        </references>
      </pivotArea>
    </chartFormat>
    <chartFormat chart="24" format="23" series="1">
      <pivotArea type="data" outline="0" fieldPosition="0">
        <references count="2">
          <reference field="4294967294" count="1" selected="0">
            <x v="0"/>
          </reference>
          <reference field="2" count="1" selected="0">
            <x v="1"/>
          </reference>
        </references>
      </pivotArea>
    </chartFormat>
    <chartFormat chart="24" format="24" series="1">
      <pivotArea type="data" outline="0" fieldPosition="0">
        <references count="2">
          <reference field="4294967294" count="1" selected="0">
            <x v="0"/>
          </reference>
          <reference field="2" count="1" selected="0">
            <x v="2"/>
          </reference>
        </references>
      </pivotArea>
    </chartFormat>
    <chartFormat chart="24" format="25"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2077EB-3E04-4FB3-A6C5-0A565508B6E1}" name="Tabela dinâmica5" cacheId="1" applyNumberFormats="0" applyBorderFormats="0" applyFontFormats="0" applyPatternFormats="0" applyAlignmentFormats="0" applyWidthHeightFormats="1" dataCaption="Valores" updatedVersion="8" minRefreshableVersion="5" itemPrintTitles="1" createdVersion="8" indent="0" outline="1" outlineData="1" multipleFieldFilters="0">
  <location ref="A4:B62" firstHeaderRow="1" firstDataRow="1" firstDataCol="1" rowPageCount="1" colPageCount="1"/>
  <pivotFields count="15">
    <pivotField showAll="0"/>
    <pivotField showAll="0"/>
    <pivotField dataField="1" showAll="0"/>
    <pivotField showAll="0"/>
    <pivotField axis="axisRow" showAll="0">
      <items count="102">
        <item m="1" x="99"/>
        <item x="28"/>
        <item x="44"/>
        <item x="61"/>
        <item x="43"/>
        <item x="51"/>
        <item x="19"/>
        <item x="20"/>
        <item x="52"/>
        <item x="21"/>
        <item x="49"/>
        <item x="37"/>
        <item x="89"/>
        <item x="57"/>
        <item x="64"/>
        <item x="29"/>
        <item x="2"/>
        <item x="23"/>
        <item x="34"/>
        <item x="47"/>
        <item x="48"/>
        <item x="60"/>
        <item x="66"/>
        <item x="40"/>
        <item x="13"/>
        <item x="35"/>
        <item x="0"/>
        <item x="42"/>
        <item x="62"/>
        <item x="68"/>
        <item x="15"/>
        <item x="9"/>
        <item x="38"/>
        <item x="32"/>
        <item x="58"/>
        <item x="18"/>
        <item x="3"/>
        <item x="17"/>
        <item x="56"/>
        <item m="1" x="95"/>
        <item x="26"/>
        <item x="50"/>
        <item x="10"/>
        <item x="1"/>
        <item x="46"/>
        <item x="14"/>
        <item m="1" x="100"/>
        <item x="31"/>
        <item x="59"/>
        <item x="54"/>
        <item x="67"/>
        <item x="65"/>
        <item x="41"/>
        <item x="25"/>
        <item x="63"/>
        <item x="55"/>
        <item x="7"/>
        <item x="5"/>
        <item x="33"/>
        <item x="6"/>
        <item x="45"/>
        <item x="70"/>
        <item x="69"/>
        <item x="71"/>
        <item x="22"/>
        <item x="72"/>
        <item x="73"/>
        <item x="12"/>
        <item x="30"/>
        <item x="4"/>
        <item x="8"/>
        <item x="11"/>
        <item x="16"/>
        <item x="24"/>
        <item x="27"/>
        <item x="36"/>
        <item x="39"/>
        <item x="74"/>
        <item x="75"/>
        <item x="76"/>
        <item x="77"/>
        <item m="1" x="98"/>
        <item x="79"/>
        <item x="78"/>
        <item x="80"/>
        <item x="81"/>
        <item x="82"/>
        <item x="83"/>
        <item x="84"/>
        <item x="85"/>
        <item x="86"/>
        <item x="87"/>
        <item x="88"/>
        <item x="90"/>
        <item x="91"/>
        <item m="1" x="96"/>
        <item m="1" x="97"/>
        <item x="92"/>
        <item x="53"/>
        <item x="93"/>
        <item x="94"/>
        <item t="default"/>
      </items>
    </pivotField>
    <pivotField showAll="0"/>
    <pivotField showAll="0"/>
    <pivotField axis="axisPage" numFmtId="164" showAll="0">
      <items count="608">
        <item x="0"/>
        <item x="1"/>
        <item x="2"/>
        <item x="3"/>
        <item x="4"/>
        <item x="5"/>
        <item x="6"/>
        <item x="7"/>
        <item x="8"/>
        <item x="9"/>
        <item x="10"/>
        <item x="11"/>
        <item x="12"/>
        <item x="13"/>
        <item x="14"/>
        <item x="15"/>
        <item x="16"/>
        <item x="17"/>
        <item x="18"/>
        <item x="19"/>
        <item x="20"/>
        <item x="21"/>
        <item x="22"/>
        <item x="23"/>
        <item x="24"/>
        <item x="25"/>
        <item x="26"/>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7"/>
        <item x="528"/>
        <item x="529"/>
        <item x="530"/>
        <item x="531"/>
        <item x="532"/>
        <item x="533"/>
        <item x="534"/>
        <item x="606"/>
        <item x="525"/>
        <item x="526"/>
        <item x="535"/>
        <item x="536"/>
        <item x="538"/>
        <item x="539"/>
        <item x="540"/>
        <item x="541"/>
        <item x="542"/>
        <item x="543"/>
        <item x="544"/>
        <item x="545"/>
        <item x="546"/>
        <item x="547"/>
        <item x="548"/>
        <item x="549"/>
        <item x="550"/>
        <item x="551"/>
        <item x="552"/>
        <item x="553"/>
        <item x="554"/>
        <item x="555"/>
        <item x="556"/>
        <item x="557"/>
        <item x="558"/>
        <item x="537"/>
        <item x="559"/>
        <item x="560"/>
        <item x="561"/>
        <item x="562"/>
        <item x="563"/>
        <item x="564"/>
        <item x="565"/>
        <item x="566"/>
        <item x="27"/>
        <item x="28"/>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numFmtId="164" showAll="0"/>
    <pivotField showAll="0"/>
    <pivotField showAll="0"/>
    <pivotField showAll="0"/>
    <pivotField showAll="0"/>
    <pivotField showAll="0"/>
  </pivotFields>
  <rowFields count="1">
    <field x="4"/>
  </rowFields>
  <rowItems count="58">
    <i>
      <x v="1"/>
    </i>
    <i>
      <x v="2"/>
    </i>
    <i>
      <x v="3"/>
    </i>
    <i>
      <x v="4"/>
    </i>
    <i>
      <x v="6"/>
    </i>
    <i>
      <x v="7"/>
    </i>
    <i>
      <x v="9"/>
    </i>
    <i>
      <x v="12"/>
    </i>
    <i>
      <x v="15"/>
    </i>
    <i>
      <x v="17"/>
    </i>
    <i>
      <x v="19"/>
    </i>
    <i>
      <x v="20"/>
    </i>
    <i>
      <x v="24"/>
    </i>
    <i>
      <x v="26"/>
    </i>
    <i>
      <x v="29"/>
    </i>
    <i>
      <x v="30"/>
    </i>
    <i>
      <x v="32"/>
    </i>
    <i>
      <x v="35"/>
    </i>
    <i>
      <x v="36"/>
    </i>
    <i>
      <x v="37"/>
    </i>
    <i>
      <x v="40"/>
    </i>
    <i>
      <x v="41"/>
    </i>
    <i>
      <x v="42"/>
    </i>
    <i>
      <x v="43"/>
    </i>
    <i>
      <x v="45"/>
    </i>
    <i>
      <x v="49"/>
    </i>
    <i>
      <x v="52"/>
    </i>
    <i>
      <x v="53"/>
    </i>
    <i>
      <x v="54"/>
    </i>
    <i>
      <x v="55"/>
    </i>
    <i>
      <x v="57"/>
    </i>
    <i>
      <x v="62"/>
    </i>
    <i>
      <x v="63"/>
    </i>
    <i>
      <x v="65"/>
    </i>
    <i>
      <x v="67"/>
    </i>
    <i>
      <x v="74"/>
    </i>
    <i>
      <x v="76"/>
    </i>
    <i>
      <x v="77"/>
    </i>
    <i>
      <x v="78"/>
    </i>
    <i>
      <x v="79"/>
    </i>
    <i>
      <x v="80"/>
    </i>
    <i>
      <x v="82"/>
    </i>
    <i>
      <x v="83"/>
    </i>
    <i>
      <x v="84"/>
    </i>
    <i>
      <x v="85"/>
    </i>
    <i>
      <x v="86"/>
    </i>
    <i>
      <x v="87"/>
    </i>
    <i>
      <x v="88"/>
    </i>
    <i>
      <x v="89"/>
    </i>
    <i>
      <x v="90"/>
    </i>
    <i>
      <x v="91"/>
    </i>
    <i>
      <x v="92"/>
    </i>
    <i>
      <x v="93"/>
    </i>
    <i>
      <x v="94"/>
    </i>
    <i>
      <x v="97"/>
    </i>
    <i>
      <x v="99"/>
    </i>
    <i>
      <x v="100"/>
    </i>
    <i t="grand">
      <x/>
    </i>
  </rowItems>
  <colItems count="1">
    <i/>
  </colItems>
  <pageFields count="1">
    <pageField fld="7" hier="-1"/>
  </pageFields>
  <dataFields count="1">
    <dataField name="Contagem de Status" fld="2" subtotal="count" baseField="0" baseItem="0"/>
  </dataFields>
  <pivotTableStyleInfo name="PivotStyleLight16" showRowHeaders="1" showColHeaders="1" showRowStripes="0" showColStripes="0" showLastColumn="1"/>
  <filters count="1">
    <filter fld="7" type="dateBetween" evalOrder="-1" id="29" name="Criada">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63D113-D676-4DD8-824A-2F2264259F11}"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5">
  <location ref="A4:B29" firstHeaderRow="1" firstDataRow="1" firstDataCol="1" rowPageCount="2" colPageCount="1"/>
  <pivotFields count="19">
    <pivotField showAll="0"/>
    <pivotField showAll="0"/>
    <pivotField showAll="0"/>
    <pivotField showAll="0"/>
    <pivotField showAll="0"/>
    <pivotField showAll="0"/>
    <pivotField showAll="0"/>
    <pivotField showAll="0">
      <items count="608">
        <item x="0"/>
        <item x="1"/>
        <item x="2"/>
        <item x="3"/>
        <item x="4"/>
        <item x="5"/>
        <item x="6"/>
        <item x="7"/>
        <item x="8"/>
        <item x="9"/>
        <item x="10"/>
        <item x="11"/>
        <item x="12"/>
        <item x="13"/>
        <item x="14"/>
        <item x="15"/>
        <item x="16"/>
        <item x="17"/>
        <item x="18"/>
        <item x="19"/>
        <item x="20"/>
        <item x="21"/>
        <item x="22"/>
        <item x="23"/>
        <item x="24"/>
        <item x="25"/>
        <item x="26"/>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7"/>
        <item x="528"/>
        <item x="529"/>
        <item x="530"/>
        <item x="531"/>
        <item x="532"/>
        <item x="606"/>
        <item x="533"/>
        <item x="534"/>
        <item x="525"/>
        <item x="526"/>
        <item x="535"/>
        <item x="536"/>
        <item x="538"/>
        <item x="539"/>
        <item x="540"/>
        <item x="541"/>
        <item x="542"/>
        <item x="543"/>
        <item x="544"/>
        <item x="545"/>
        <item x="546"/>
        <item x="547"/>
        <item x="548"/>
        <item x="549"/>
        <item x="550"/>
        <item x="551"/>
        <item x="552"/>
        <item x="553"/>
        <item x="554"/>
        <item x="555"/>
        <item x="556"/>
        <item x="557"/>
        <item x="558"/>
        <item x="537"/>
        <item x="559"/>
        <item x="560"/>
        <item x="561"/>
        <item x="562"/>
        <item x="563"/>
        <item x="564"/>
        <item x="565"/>
        <item x="566"/>
        <item x="27"/>
        <item x="28"/>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axis="axisRow" dataField="1" showAll="0">
      <items count="47">
        <item x="8"/>
        <item x="35"/>
        <item x="20"/>
        <item x="1"/>
        <item x="15"/>
        <item x="14"/>
        <item x="17"/>
        <item x="11"/>
        <item x="19"/>
        <item x="31"/>
        <item x="2"/>
        <item x="37"/>
        <item x="21"/>
        <item x="3"/>
        <item x="12"/>
        <item x="0"/>
        <item x="5"/>
        <item x="7"/>
        <item x="24"/>
        <item x="16"/>
        <item x="23"/>
        <item x="28"/>
        <item x="39"/>
        <item x="10"/>
        <item x="30"/>
        <item x="27"/>
        <item x="4"/>
        <item x="38"/>
        <item x="26"/>
        <item x="18"/>
        <item x="6"/>
        <item x="29"/>
        <item x="22"/>
        <item x="32"/>
        <item x="25"/>
        <item x="33"/>
        <item x="13"/>
        <item x="34"/>
        <item x="36"/>
        <item x="9"/>
        <item x="45"/>
        <item x="40"/>
        <item x="41"/>
        <item x="42"/>
        <item x="43"/>
        <item x="44"/>
        <item t="default"/>
      </items>
    </pivotField>
    <pivotField showAll="0"/>
    <pivotField showAll="0"/>
    <pivotField showAll="0"/>
    <pivotField showAll="0"/>
    <pivotField showAll="0"/>
    <pivotField showAll="0"/>
    <pivotField showAll="0"/>
    <pivotField axis="axisPage" multipleItemSelectionAllowed="1" showAll="0">
      <items count="15">
        <item h="1"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Page" multipleItemSelectionAllowed="1" showAll="0">
      <items count="6">
        <item h="1" sd="0" x="1"/>
        <item h="1" sd="0" x="2"/>
        <item sd="0" x="3"/>
        <item h="1" x="0"/>
        <item h="1" x="4"/>
        <item t="default"/>
      </items>
    </pivotField>
  </pivotFields>
  <rowFields count="1">
    <field x="8"/>
  </rowFields>
  <rowItems count="25">
    <i>
      <x/>
    </i>
    <i>
      <x v="2"/>
    </i>
    <i>
      <x v="3"/>
    </i>
    <i>
      <x v="7"/>
    </i>
    <i>
      <x v="8"/>
    </i>
    <i>
      <x v="10"/>
    </i>
    <i>
      <x v="11"/>
    </i>
    <i>
      <x v="13"/>
    </i>
    <i>
      <x v="15"/>
    </i>
    <i>
      <x v="16"/>
    </i>
    <i>
      <x v="17"/>
    </i>
    <i>
      <x v="19"/>
    </i>
    <i>
      <x v="20"/>
    </i>
    <i>
      <x v="22"/>
    </i>
    <i>
      <x v="23"/>
    </i>
    <i>
      <x v="27"/>
    </i>
    <i>
      <x v="31"/>
    </i>
    <i>
      <x v="32"/>
    </i>
    <i>
      <x v="38"/>
    </i>
    <i>
      <x v="41"/>
    </i>
    <i>
      <x v="42"/>
    </i>
    <i>
      <x v="43"/>
    </i>
    <i>
      <x v="44"/>
    </i>
    <i>
      <x v="45"/>
    </i>
    <i t="grand">
      <x/>
    </i>
  </rowItems>
  <colItems count="1">
    <i/>
  </colItems>
  <pageFields count="2">
    <pageField fld="18" hier="-1"/>
    <pageField fld="16" hier="-1"/>
  </pageFields>
  <dataFields count="1">
    <dataField name="Contagem de Área de trabalho" fld="8" subtotal="count" baseField="0" baseItem="0"/>
  </dataFields>
  <chartFormats count="1">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0D082C3B-3FE5-4D0D-A0CA-6295320CC031}" autoFormatId="16" applyNumberFormats="0" applyBorderFormats="0" applyFontFormats="0" applyPatternFormats="0" applyAlignmentFormats="0" applyWidthHeightFormats="0">
  <queryTableRefresh nextId="9">
    <queryTableFields count="8">
      <queryTableField id="1" name="NOME" tableColumnId="1"/>
      <queryTableField id="2" name="TURNO COMP" tableColumnId="2"/>
      <queryTableField id="3" name="TURNO" tableColumnId="3"/>
      <queryTableField id="4" name="COORDENADOR" tableColumnId="4"/>
      <queryTableField id="5" name="FUNÇÃO" tableColumnId="5"/>
      <queryTableField id="6" name="STATUS" tableColumnId="6"/>
      <queryTableField id="7" name="ÁREA" tableColumnId="7"/>
      <queryTableField id="8" name="IDFIXO"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269D16-82FE-4515-8933-46DB23BDC3AF}" name="TAB.cancelada" displayName="TAB.cancelada" ref="A1:M31" totalsRowShown="0" headerRowDxfId="39">
  <autoFilter ref="A1:M31" xr:uid="{C1269D16-82FE-4515-8933-46DB23BDC3AF}"/>
  <tableColumns count="13">
    <tableColumn id="1" xr3:uid="{304487D8-991E-4206-9988-983CC1D1A39E}" name="Número" dataDxfId="38"/>
    <tableColumn id="2" xr3:uid="{D33D30DC-1DBC-416E-B0F5-769903C3EA62}" name="Descrição curta" dataDxfId="37"/>
    <tableColumn id="3" xr3:uid="{A46271ED-4454-46EF-9F94-AD5A01327F46}" name="Status" dataDxfId="36"/>
    <tableColumn id="4" xr3:uid="{2C02C67A-4662-4F34-BAB1-30960284C38C}" name="Enviado por" dataDxfId="35"/>
    <tableColumn id="5" xr3:uid="{58AC7665-DF7C-4AE7-A8A5-D7EDE3B28ACB}" name="Categoria" dataDxfId="34"/>
    <tableColumn id="6" xr3:uid="{32F1CF90-6050-4899-A186-EFAFDACC0F93}" name="Sub categoria" dataDxfId="33"/>
    <tableColumn id="7" xr3:uid="{FC7BC6F3-7720-4C31-A615-7D57BEEA2A82}" name="Criada" dataDxfId="32"/>
    <tableColumn id="8" xr3:uid="{2179EF65-D1F3-4726-A369-72F496038935}" name="Área de trabalho" dataDxfId="31"/>
    <tableColumn id="9" xr3:uid="{8ABC23CE-C634-468F-9117-FC80EC8C59F2}" name="Atualizado" dataDxfId="30"/>
    <tableColumn id="10" xr3:uid="{7FDF3970-3131-4114-8F16-ADF6854A3CD2}" name="Atribuído" dataDxfId="29"/>
    <tableColumn id="11" xr3:uid="{9D63F6A7-D1A9-4C07-B3C7-564FC0FD1D43}" name="Grupo de atribuição" dataDxfId="28"/>
    <tableColumn id="12" xr3:uid="{15DD2FDE-DA73-43AC-8961-83098B910149}" name="Grupo" dataDxfId="27">
      <calculatedColumnFormula>_xlfn.XLOOKUP(TAB.cancelada[[#This Row],[Número]],'tabela ideias'!A:A,'tabela ideias'!O:O,"Não encontrado")</calculatedColumnFormula>
    </tableColumn>
    <tableColumn id="13" xr3:uid="{978F40DC-61D3-47B1-8F0A-D786927F1BCB}" name="Motivo do Cancelamento"/>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57C7D9-CF68-4CFB-AC86-7FC4C13515F8}" name="TAB.IDEIAS.TOTAL" displayName="TAB.IDEIAS.TOTAL" ref="A1:P1033" totalsRowShown="0" headerRowDxfId="50">
  <autoFilter ref="A1:P1033" xr:uid="{4057C7D9-CF68-4CFB-AC86-7FC4C13515F8}"/>
  <tableColumns count="16">
    <tableColumn id="1" xr3:uid="{26127921-1EC0-434A-89C8-7EC6010D776E}" name="Número " dataDxfId="49"/>
    <tableColumn id="2" xr3:uid="{DABDCE2D-4462-4045-BEAB-4F5D30EAD7DF}" name="Descrição curta" dataDxfId="48"/>
    <tableColumn id="3" xr3:uid="{51BC652D-7555-495F-BADF-EFEDA2E25F85}" name="Status"/>
    <tableColumn id="4" xr3:uid="{288AC25D-1BF9-4B9A-BBD7-30A80D80CCD0}" name="Descrição" dataDxfId="47"/>
    <tableColumn id="5" xr3:uid="{F968D32C-BF84-4BE7-8890-5717D4F06BCA}" name="Enviado por" dataDxfId="46"/>
    <tableColumn id="6" xr3:uid="{51634E04-5E35-44FB-9E86-625CD3652E96}" name="Categoria" dataDxfId="45"/>
    <tableColumn id="7" xr3:uid="{1CFCDDEA-2F35-40B7-8A84-4F6C84C50E6C}" name="Sub categoria" dataDxfId="44"/>
    <tableColumn id="8" xr3:uid="{DBAE6BE2-C9E5-4F6C-91FA-EB5E9AC466C3}" name="Criada" dataDxfId="43"/>
    <tableColumn id="9" xr3:uid="{3A08D982-2230-4B31-8A3E-C3847C696D68}" name="Área de trabalho" dataDxfId="42"/>
    <tableColumn id="10" xr3:uid="{7CCA3219-0ED4-419B-A25F-7D82FE4F9918}" name="Atualizado"/>
    <tableColumn id="11" xr3:uid="{81A8B65A-D42D-462A-9583-6C7EE227F7BE}" name="Atribuído a" dataDxfId="41"/>
    <tableColumn id="12" xr3:uid="{F93BC76B-F145-4479-A00C-609BE63DD6FC}" name="Grupo de atribuição" dataDxfId="40"/>
    <tableColumn id="13" xr3:uid="{57CD48EC-23E4-4EEF-895F-02A3BB2E9414}" name="Fechado"/>
    <tableColumn id="16" xr3:uid="{7D7AD7A6-04A4-4E31-AEB6-27F7C3E19535}" name="Status controle interno "/>
    <tableColumn id="14" xr3:uid="{E7A6FC38-1FE5-4900-A1DF-A3FE10C404F6}" name="Grupo"/>
    <tableColumn id="15" xr3:uid="{AC688C91-5AB9-4D33-8AC3-2DD2D1646CCE}" name="cancelada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CA4AB7-A0A8-4B28-BF05-ED928122FDE5}" name="CADASTRO" displayName="CADASTRO" ref="A1:H122" tableType="queryTable" totalsRowShown="0">
  <autoFilter ref="A1:H122" xr:uid="{A5CA4AB7-A0A8-4B28-BF05-ED928122FDE5}"/>
  <tableColumns count="8">
    <tableColumn id="1" xr3:uid="{B9D544CD-CB97-45C0-9A7C-FB3893DA7222}" uniqueName="1" name="NOME" queryTableFieldId="1" dataDxfId="26"/>
    <tableColumn id="2" xr3:uid="{B8C5D4B9-50DE-4B09-A110-F7EA88AEF17A}" uniqueName="2" name="TURNO COMP" queryTableFieldId="2" dataDxfId="25"/>
    <tableColumn id="3" xr3:uid="{601F76D1-9158-4CC2-B7B4-AB3B977A4027}" uniqueName="3" name="TURNO" queryTableFieldId="3" dataDxfId="24"/>
    <tableColumn id="4" xr3:uid="{24404B9D-44AE-4F2C-BCA4-2E1B2CB55A6C}" uniqueName="4" name="COORDENADOR" queryTableFieldId="4" dataDxfId="23"/>
    <tableColumn id="5" xr3:uid="{BD10DEC9-30D5-4208-BEE9-7F7BFA6F9952}" uniqueName="5" name="FUNÇÃO" queryTableFieldId="5" dataDxfId="22"/>
    <tableColumn id="6" xr3:uid="{7C7B77E3-1D96-47C8-951D-3E83A246ACA3}" uniqueName="6" name="STATUS" queryTableFieldId="6" dataDxfId="21"/>
    <tableColumn id="7" xr3:uid="{DA388163-674A-4740-AB4D-978B9296A0F1}" uniqueName="7" name="ÁREA" queryTableFieldId="7" dataDxfId="20"/>
    <tableColumn id="8" xr3:uid="{72E2518D-2A3D-4A2F-840E-54D55E63B4C1}" uniqueName="8" name="IDFIXO"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FBBF42-569D-40EE-BA7B-02B215041C90}" name="TAB.COLAB" displayName="TAB.COLAB" ref="A1:G157" totalsRowShown="0" headerRowDxfId="19" headerRowBorderDxfId="18" tableBorderDxfId="17" totalsRowBorderDxfId="16">
  <autoFilter ref="A1:G157" xr:uid="{9AFBBF42-569D-40EE-BA7B-02B215041C90}">
    <filterColumn colId="6">
      <filters>
        <filter val="AFASTADO"/>
        <filter val="ATIVO"/>
      </filters>
    </filterColumn>
  </autoFilter>
  <sortState xmlns:xlrd2="http://schemas.microsoft.com/office/spreadsheetml/2017/richdata2" ref="A2:G138">
    <sortCondition ref="F1:F138"/>
  </sortState>
  <tableColumns count="7">
    <tableColumn id="1" xr3:uid="{8609D34E-1E1F-465A-8039-88C3145F7FFD}" name="Base DMOS" dataDxfId="15"/>
    <tableColumn id="2" xr3:uid="{9DE8DFA7-C156-4E1E-B4CE-29B3F74A5425}" name="NOME" dataDxfId="14"/>
    <tableColumn id="3" xr3:uid="{B99EFE53-DD5F-4EF8-BF21-1CF3723735D7}" name="TIPO" dataDxfId="13"/>
    <tableColumn id="4" xr3:uid="{9BF40DBA-03A6-4884-A852-345CEAA0343C}" name="CARGO" dataDxfId="12"/>
    <tableColumn id="5" xr3:uid="{6DAD6E01-4351-4854-9A6F-6BB7DA8BF94C}" name="AREA" dataDxfId="11"/>
    <tableColumn id="6" xr3:uid="{C8690398-407C-466B-B7B1-838587702CB6}" name="COORDENADOR" dataDxfId="10"/>
    <tableColumn id="7" xr3:uid="{47D9E4E4-BEBD-4FC0-BD4D-B6B2D623C306}" name="SITUAÇÃO" dataDxfId="9"/>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85" dT="2026-09-18T12:38:10.59" personId="{8D84C22E-E58B-4D00-83B9-2C8C71258035}" id="{2A63144D-9601-4856-B8F4-E070AD23CDBC}">
    <text>NÃO EXISTE NO DMOS AINDA</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riada" xr10:uid="{E9D6D24A-9A98-4F70-8A66-EB39C36EF941}" sourceName="Criada">
  <pivotTables>
    <pivotTable tabId="4" name="Tabela dinâmica5"/>
  </pivotTables>
  <state minimalRefreshVersion="6" lastRefreshVersion="6" pivotCacheId="1857666879" filterType="dateBetween">
    <selection startDate="2026-01-01T00:00:00" endDate="2026-12-31T00:00:00"/>
    <bounds startDate="2024-01-01T09:53:28" endDate="2027-01-01T09:39:09"/>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iada" xr10:uid="{601A6E1B-A63A-4B55-AE44-9A6A03411F91}" cache="NativeTimeline_Criada" caption="Criada" level="0" selectionLevel="0"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4B13-1EDD-4BCC-A1A4-5B30C4C0CC46}">
  <sheetPr codeName="Planilha1"/>
  <dimension ref="A1:M31"/>
  <sheetViews>
    <sheetView zoomScale="70" zoomScaleNormal="70" workbookViewId="0">
      <selection activeCell="C8" sqref="C8"/>
    </sheetView>
  </sheetViews>
  <sheetFormatPr defaultRowHeight="14.5" x14ac:dyDescent="0.35"/>
  <cols>
    <col min="1" max="1" width="12.54296875" customWidth="1"/>
    <col min="2" max="2" width="15.453125" customWidth="1"/>
    <col min="3" max="3" width="13.453125" customWidth="1"/>
    <col min="4" max="4" width="14.7265625" customWidth="1"/>
    <col min="5" max="5" width="10.81640625" customWidth="1"/>
    <col min="6" max="6" width="14.1796875" customWidth="1"/>
    <col min="7" max="7" width="19.26953125" customWidth="1"/>
    <col min="8" max="8" width="17.7265625" bestFit="1" customWidth="1"/>
    <col min="9" max="9" width="19.453125" bestFit="1" customWidth="1"/>
    <col min="10" max="10" width="17.7265625" bestFit="1" customWidth="1"/>
    <col min="11" max="11" width="19.7265625" customWidth="1"/>
    <col min="12" max="12" width="35.7265625" bestFit="1" customWidth="1"/>
    <col min="13" max="13" width="30.8164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44" t="s">
        <v>12</v>
      </c>
    </row>
    <row r="2" spans="1:13" ht="43.5" x14ac:dyDescent="0.35">
      <c r="A2" s="6" t="s">
        <v>13</v>
      </c>
      <c r="B2" s="6" t="s">
        <v>14</v>
      </c>
      <c r="C2" s="6" t="s">
        <v>15</v>
      </c>
      <c r="D2" s="6" t="s">
        <v>16</v>
      </c>
      <c r="E2" s="6" t="s">
        <v>17</v>
      </c>
      <c r="F2" s="6" t="s">
        <v>18</v>
      </c>
      <c r="G2" s="5">
        <v>45682.479814814818</v>
      </c>
      <c r="H2" s="6" t="s">
        <v>19</v>
      </c>
      <c r="I2" s="5">
        <v>45861.304710648146</v>
      </c>
      <c r="J2" s="5"/>
      <c r="K2" s="6" t="s">
        <v>20</v>
      </c>
      <c r="L2" s="9" t="str">
        <f>_xlfn.XLOOKUP(TAB.cancelada[[#This Row],[Número]],'tabela ideias'!A:A,'tabela ideias'!O:O,"Não encontrado")</f>
        <v>OPERAÇÃO</v>
      </c>
    </row>
    <row r="3" spans="1:13" ht="43.5" x14ac:dyDescent="0.35">
      <c r="A3" s="6" t="s">
        <v>21</v>
      </c>
      <c r="B3" s="6" t="s">
        <v>22</v>
      </c>
      <c r="C3" s="6" t="s">
        <v>15</v>
      </c>
      <c r="D3" s="6" t="s">
        <v>23</v>
      </c>
      <c r="E3" s="6" t="s">
        <v>17</v>
      </c>
      <c r="F3" s="6" t="s">
        <v>24</v>
      </c>
      <c r="G3" s="5">
        <v>45747.209050925929</v>
      </c>
      <c r="H3" s="6" t="s">
        <v>25</v>
      </c>
      <c r="I3" s="5">
        <v>45861.470995370371</v>
      </c>
      <c r="J3" s="5"/>
      <c r="K3" s="6" t="s">
        <v>26</v>
      </c>
      <c r="L3" s="9" t="str">
        <f>_xlfn.XLOOKUP(TAB.cancelada[[#This Row],[Número]],'tabela ideias'!A:A,'tabela ideias'!O:O,"Não encontrado")</f>
        <v>OPERAÇÃO</v>
      </c>
    </row>
    <row r="4" spans="1:13" ht="58" x14ac:dyDescent="0.35">
      <c r="A4" s="6" t="s">
        <v>27</v>
      </c>
      <c r="B4" s="6" t="s">
        <v>28</v>
      </c>
      <c r="C4" s="6" t="s">
        <v>15</v>
      </c>
      <c r="D4" s="6" t="s">
        <v>29</v>
      </c>
      <c r="E4" s="6" t="s">
        <v>17</v>
      </c>
      <c r="F4" s="6" t="s">
        <v>30</v>
      </c>
      <c r="G4" s="5">
        <v>45750.479768518519</v>
      </c>
      <c r="H4" s="6" t="s">
        <v>31</v>
      </c>
      <c r="I4" s="5">
        <v>45959.386817129627</v>
      </c>
      <c r="J4" s="5"/>
      <c r="K4" s="6" t="s">
        <v>32</v>
      </c>
      <c r="L4" s="9" t="str">
        <f>_xlfn.XLOOKUP(TAB.cancelada[[#This Row],[Número]],'tabela ideias'!A:A,'tabela ideias'!O:O,"Não encontrado")</f>
        <v>ADM/TÉCNICO/ASSISTENTE/ESTAG.</v>
      </c>
    </row>
    <row r="5" spans="1:13" ht="58" x14ac:dyDescent="0.35">
      <c r="A5" s="6" t="s">
        <v>33</v>
      </c>
      <c r="B5" s="6" t="s">
        <v>34</v>
      </c>
      <c r="C5" s="6" t="s">
        <v>15</v>
      </c>
      <c r="D5" s="6" t="s">
        <v>35</v>
      </c>
      <c r="E5" s="6" t="s">
        <v>17</v>
      </c>
      <c r="F5" s="6" t="s">
        <v>24</v>
      </c>
      <c r="G5" s="5">
        <v>45773.689745370371</v>
      </c>
      <c r="H5" s="6" t="s">
        <v>36</v>
      </c>
      <c r="I5" s="5">
        <v>45959.473541666666</v>
      </c>
      <c r="J5" s="5"/>
      <c r="K5" s="6" t="s">
        <v>37</v>
      </c>
      <c r="L5" s="9" t="str">
        <f>_xlfn.XLOOKUP(TAB.cancelada[[#This Row],[Número]],'tabela ideias'!A:A,'tabela ideias'!O:O,"Não encontrado")</f>
        <v>OPERAÇÃO</v>
      </c>
    </row>
    <row r="6" spans="1:13" ht="43.5" x14ac:dyDescent="0.35">
      <c r="A6" s="6" t="s">
        <v>38</v>
      </c>
      <c r="B6" s="6" t="s">
        <v>39</v>
      </c>
      <c r="C6" s="6" t="s">
        <v>15</v>
      </c>
      <c r="D6" s="6" t="s">
        <v>40</v>
      </c>
      <c r="E6" s="6" t="s">
        <v>17</v>
      </c>
      <c r="F6" s="6" t="s">
        <v>30</v>
      </c>
      <c r="G6" s="5">
        <v>45778.082511574074</v>
      </c>
      <c r="H6" s="6" t="s">
        <v>41</v>
      </c>
      <c r="I6" s="5">
        <v>45852.479027777779</v>
      </c>
      <c r="J6" s="5"/>
      <c r="K6" s="6" t="s">
        <v>32</v>
      </c>
      <c r="L6" s="9" t="str">
        <f>_xlfn.XLOOKUP(TAB.cancelada[[#This Row],[Número]],'tabela ideias'!A:A,'tabela ideias'!O:O,"Não encontrado")</f>
        <v>OPERAÇÃO</v>
      </c>
    </row>
    <row r="7" spans="1:13" ht="58" x14ac:dyDescent="0.35">
      <c r="A7" s="6" t="s">
        <v>42</v>
      </c>
      <c r="B7" s="6" t="s">
        <v>28</v>
      </c>
      <c r="C7" s="6" t="s">
        <v>15</v>
      </c>
      <c r="D7" s="6" t="s">
        <v>29</v>
      </c>
      <c r="E7" s="6" t="s">
        <v>17</v>
      </c>
      <c r="F7" s="6" t="s">
        <v>30</v>
      </c>
      <c r="G7" s="5">
        <v>45778.453101851854</v>
      </c>
      <c r="H7" s="6" t="s">
        <v>43</v>
      </c>
      <c r="I7" s="5">
        <v>45939.578425925924</v>
      </c>
      <c r="J7" s="5"/>
      <c r="K7" s="6" t="s">
        <v>32</v>
      </c>
      <c r="L7" s="9" t="str">
        <f>_xlfn.XLOOKUP(TAB.cancelada[[#This Row],[Número]],'tabela ideias'!A:A,'tabela ideias'!O:O,"Não encontrado")</f>
        <v>ADM/TÉCNICO/ASSISTENTE/ESTAG.</v>
      </c>
    </row>
    <row r="8" spans="1:13" ht="43.5" x14ac:dyDescent="0.35">
      <c r="A8" s="6" t="s">
        <v>44</v>
      </c>
      <c r="B8" s="6" t="s">
        <v>45</v>
      </c>
      <c r="C8" s="6" t="s">
        <v>15</v>
      </c>
      <c r="D8" s="6" t="s">
        <v>46</v>
      </c>
      <c r="E8" s="6" t="s">
        <v>17</v>
      </c>
      <c r="F8" s="6" t="s">
        <v>18</v>
      </c>
      <c r="G8" s="5">
        <v>45779.737013888887</v>
      </c>
      <c r="H8" s="6" t="s">
        <v>25</v>
      </c>
      <c r="I8" s="5">
        <v>45861.470659722225</v>
      </c>
      <c r="J8" s="5"/>
      <c r="K8" s="6" t="s">
        <v>26</v>
      </c>
      <c r="L8" s="9" t="str">
        <f>_xlfn.XLOOKUP(TAB.cancelada[[#This Row],[Número]],'tabela ideias'!A:A,'tabela ideias'!O:O,"Não encontrado")</f>
        <v>OPERAÇÃO</v>
      </c>
    </row>
    <row r="9" spans="1:13" ht="87" x14ac:dyDescent="0.35">
      <c r="A9" s="6" t="s">
        <v>47</v>
      </c>
      <c r="B9" s="6" t="s">
        <v>48</v>
      </c>
      <c r="C9" s="6" t="s">
        <v>15</v>
      </c>
      <c r="D9" s="6" t="s">
        <v>49</v>
      </c>
      <c r="E9" s="6" t="s">
        <v>17</v>
      </c>
      <c r="F9" s="6" t="s">
        <v>24</v>
      </c>
      <c r="G9" s="5">
        <v>45862.09480324074</v>
      </c>
      <c r="H9" s="6" t="s">
        <v>50</v>
      </c>
      <c r="I9" s="5">
        <v>45933.42864583333</v>
      </c>
      <c r="J9" s="5"/>
      <c r="K9" s="6" t="s">
        <v>37</v>
      </c>
      <c r="L9" s="9" t="str">
        <f>_xlfn.XLOOKUP(TAB.cancelada[[#This Row],[Número]],'tabela ideias'!A:A,'tabela ideias'!O:O,"Não encontrado")</f>
        <v>OPERAÇÃO</v>
      </c>
    </row>
    <row r="10" spans="1:13" ht="72.5" x14ac:dyDescent="0.35">
      <c r="A10" s="6" t="s">
        <v>51</v>
      </c>
      <c r="B10" s="6" t="s">
        <v>52</v>
      </c>
      <c r="C10" s="6" t="s">
        <v>15</v>
      </c>
      <c r="D10" s="6" t="s">
        <v>53</v>
      </c>
      <c r="E10" s="6" t="s">
        <v>17</v>
      </c>
      <c r="F10" s="6" t="s">
        <v>54</v>
      </c>
      <c r="G10" s="5">
        <v>45874.237939814811</v>
      </c>
      <c r="H10" s="6" t="s">
        <v>36</v>
      </c>
      <c r="I10" s="5">
        <v>45960.370810185188</v>
      </c>
      <c r="J10" s="5"/>
      <c r="K10" s="6" t="s">
        <v>37</v>
      </c>
      <c r="L10" s="9" t="str">
        <f>_xlfn.XLOOKUP(TAB.cancelada[[#This Row],[Número]],'tabela ideias'!A:A,'tabela ideias'!O:O,"Não encontrado")</f>
        <v>OPERAÇÃO</v>
      </c>
    </row>
    <row r="11" spans="1:13" ht="43.5" x14ac:dyDescent="0.35">
      <c r="A11" s="6" t="s">
        <v>55</v>
      </c>
      <c r="B11" s="6" t="s">
        <v>56</v>
      </c>
      <c r="C11" s="6" t="s">
        <v>15</v>
      </c>
      <c r="D11" s="6" t="s">
        <v>57</v>
      </c>
      <c r="E11" s="6" t="s">
        <v>17</v>
      </c>
      <c r="F11" s="6" t="s">
        <v>30</v>
      </c>
      <c r="G11" s="5">
        <v>45779.47246527778</v>
      </c>
      <c r="H11" s="6" t="s">
        <v>36</v>
      </c>
      <c r="I11" s="5">
        <v>45945.347673611112</v>
      </c>
      <c r="J11" s="5" t="s">
        <v>58</v>
      </c>
      <c r="K11" s="6" t="s">
        <v>37</v>
      </c>
      <c r="L11" s="9" t="str">
        <f>_xlfn.XLOOKUP(TAB.cancelada[[#This Row],[Número]],'tabela ideias'!A:A,'tabela ideias'!O:O,"Não encontrado")</f>
        <v>OPERAÇÃO</v>
      </c>
    </row>
    <row r="12" spans="1:13" ht="43.5" x14ac:dyDescent="0.35">
      <c r="A12" s="13" t="s">
        <v>59</v>
      </c>
      <c r="B12" s="13" t="s">
        <v>60</v>
      </c>
      <c r="C12" s="6" t="s">
        <v>15</v>
      </c>
      <c r="D12" s="6" t="s">
        <v>40</v>
      </c>
      <c r="E12" s="6" t="s">
        <v>17</v>
      </c>
      <c r="F12" s="13" t="s">
        <v>61</v>
      </c>
      <c r="G12" s="5"/>
      <c r="H12" s="6"/>
      <c r="I12" s="5"/>
      <c r="J12" s="5"/>
      <c r="K12" s="6"/>
      <c r="L12" s="9" t="str">
        <f>_xlfn.XLOOKUP(TAB.cancelada[[#This Row],[Número]],'tabela ideias'!A:A,'tabela ideias'!O:O,"Não encontrado")</f>
        <v>OPERAÇÃO</v>
      </c>
    </row>
    <row r="13" spans="1:13" ht="87" x14ac:dyDescent="0.35">
      <c r="A13" s="6" t="s">
        <v>62</v>
      </c>
      <c r="B13" s="6" t="s">
        <v>63</v>
      </c>
      <c r="C13" s="6" t="s">
        <v>15</v>
      </c>
      <c r="D13" s="6" t="s">
        <v>64</v>
      </c>
      <c r="E13" s="6" t="s">
        <v>17</v>
      </c>
      <c r="F13" s="6" t="s">
        <v>54</v>
      </c>
      <c r="G13" s="5">
        <v>46002.96434027778</v>
      </c>
      <c r="H13" s="6" t="s">
        <v>50</v>
      </c>
      <c r="I13" s="5">
        <v>46224.686990740738</v>
      </c>
      <c r="J13" s="5" t="s">
        <v>65</v>
      </c>
      <c r="K13" s="6" t="s">
        <v>66</v>
      </c>
      <c r="L13" s="9" t="str">
        <f>_xlfn.XLOOKUP(TAB.cancelada[[#This Row],[Número]],'tabela ideias'!A:A,'tabela ideias'!O:O,"Não encontrado")</f>
        <v>OPERAÇÃO</v>
      </c>
    </row>
    <row r="14" spans="1:13" ht="58" x14ac:dyDescent="0.35">
      <c r="A14" s="6" t="s">
        <v>67</v>
      </c>
      <c r="B14" s="6" t="s">
        <v>68</v>
      </c>
      <c r="C14" s="6" t="s">
        <v>15</v>
      </c>
      <c r="D14" s="6"/>
      <c r="E14" s="6" t="s">
        <v>17</v>
      </c>
      <c r="F14" s="6" t="s">
        <v>24</v>
      </c>
      <c r="G14" s="5">
        <v>45714.339594907404</v>
      </c>
      <c r="H14" s="6" t="s">
        <v>25</v>
      </c>
      <c r="I14" s="5">
        <v>46276.538043981483</v>
      </c>
      <c r="J14" s="5" t="s">
        <v>69</v>
      </c>
      <c r="K14" s="6" t="s">
        <v>66</v>
      </c>
      <c r="L14" s="9">
        <f>_xlfn.XLOOKUP(TAB.cancelada[[#This Row],[Número]],'tabela ideias'!A:A,'tabela ideias'!O:O,"Não encontrado")</f>
        <v>0</v>
      </c>
    </row>
    <row r="15" spans="1:13" ht="43.5" x14ac:dyDescent="0.35">
      <c r="A15" s="6" t="s">
        <v>70</v>
      </c>
      <c r="B15" s="6" t="s">
        <v>71</v>
      </c>
      <c r="C15" s="6" t="s">
        <v>15</v>
      </c>
      <c r="D15" s="6" t="s">
        <v>72</v>
      </c>
      <c r="E15" s="6" t="s">
        <v>17</v>
      </c>
      <c r="F15" s="6" t="s">
        <v>54</v>
      </c>
      <c r="G15" s="5">
        <v>45813.51972222222</v>
      </c>
      <c r="H15" s="6" t="s">
        <v>73</v>
      </c>
      <c r="I15" s="5">
        <v>46276.554293981484</v>
      </c>
      <c r="J15" s="5" t="s">
        <v>74</v>
      </c>
      <c r="K15" s="6" t="s">
        <v>66</v>
      </c>
      <c r="L15" s="9" t="str">
        <f>_xlfn.XLOOKUP(TAB.cancelada[[#This Row],[Número]],'tabela ideias'!A:A,'tabela ideias'!O:O,"Não encontrado")</f>
        <v>OPERAÇÃO</v>
      </c>
    </row>
    <row r="16" spans="1:13" ht="43.5" x14ac:dyDescent="0.35">
      <c r="A16" s="6" t="s">
        <v>75</v>
      </c>
      <c r="B16" s="6" t="s">
        <v>76</v>
      </c>
      <c r="C16" s="6" t="s">
        <v>15</v>
      </c>
      <c r="D16" s="6" t="s">
        <v>77</v>
      </c>
      <c r="E16" s="6" t="s">
        <v>17</v>
      </c>
      <c r="F16" s="6" t="s">
        <v>30</v>
      </c>
      <c r="G16" s="5">
        <v>45903.653981481482</v>
      </c>
      <c r="H16" s="6" t="s">
        <v>36</v>
      </c>
      <c r="I16" s="5">
        <v>46276.586446759262</v>
      </c>
      <c r="J16" s="5" t="s">
        <v>78</v>
      </c>
      <c r="K16" s="6" t="s">
        <v>66</v>
      </c>
      <c r="L16" s="9" t="str">
        <f>_xlfn.XLOOKUP(TAB.cancelada[[#This Row],[Número]],'tabela ideias'!A:A,'tabela ideias'!O:O,"Não encontrado")</f>
        <v>OPERAÇÃO</v>
      </c>
    </row>
    <row r="17" spans="1:12" ht="72.5" x14ac:dyDescent="0.35">
      <c r="A17" s="6" t="s">
        <v>79</v>
      </c>
      <c r="B17" s="6" t="s">
        <v>80</v>
      </c>
      <c r="C17" s="6" t="s">
        <v>15</v>
      </c>
      <c r="D17" s="6" t="s">
        <v>81</v>
      </c>
      <c r="E17" s="6" t="s">
        <v>17</v>
      </c>
      <c r="F17" s="6" t="s">
        <v>61</v>
      </c>
      <c r="G17" s="5">
        <v>45756.750011574077</v>
      </c>
      <c r="H17" s="6" t="s">
        <v>31</v>
      </c>
      <c r="I17" s="5">
        <v>46188.572824074072</v>
      </c>
      <c r="J17" s="5" t="s">
        <v>82</v>
      </c>
      <c r="K17" s="6" t="s">
        <v>32</v>
      </c>
      <c r="L17" s="9" t="str">
        <f>_xlfn.XLOOKUP(TAB.cancelada[[#This Row],[Número]],'tabela ideias'!A:A,'tabela ideias'!O:O,"Não encontrado")</f>
        <v>OPERAÇÃO</v>
      </c>
    </row>
    <row r="18" spans="1:12" ht="116" x14ac:dyDescent="0.35">
      <c r="A18" s="6" t="s">
        <v>83</v>
      </c>
      <c r="B18" s="6" t="s">
        <v>84</v>
      </c>
      <c r="C18" s="6" t="s">
        <v>15</v>
      </c>
      <c r="D18" s="6" t="s">
        <v>85</v>
      </c>
      <c r="E18" s="6" t="s">
        <v>17</v>
      </c>
      <c r="F18" s="6" t="s">
        <v>24</v>
      </c>
      <c r="G18" s="5">
        <v>46064.582199074073</v>
      </c>
      <c r="H18" s="6" t="s">
        <v>86</v>
      </c>
      <c r="I18" s="5">
        <v>46098.65116898148</v>
      </c>
      <c r="J18" s="5"/>
      <c r="K18" s="6" t="s">
        <v>87</v>
      </c>
      <c r="L18" s="9" t="str">
        <f>_xlfn.XLOOKUP(TAB.cancelada[[#This Row],[Número]],'tabela ideias'!A:A,'tabela ideias'!O:O,"Não encontrado")</f>
        <v>ADM/TÉCNICO/ASSISTENTE/ESTAG.</v>
      </c>
    </row>
    <row r="19" spans="1:12" ht="43.5" x14ac:dyDescent="0.35">
      <c r="A19" s="6" t="s">
        <v>88</v>
      </c>
      <c r="B19" s="6" t="s">
        <v>89</v>
      </c>
      <c r="C19" s="6" t="s">
        <v>15</v>
      </c>
      <c r="D19" s="6" t="s">
        <v>90</v>
      </c>
      <c r="E19" s="6" t="s">
        <v>17</v>
      </c>
      <c r="F19" s="6" t="s">
        <v>18</v>
      </c>
      <c r="G19" s="5">
        <v>45980.398333333331</v>
      </c>
      <c r="H19" s="6" t="s">
        <v>91</v>
      </c>
      <c r="I19" s="5">
        <v>46143.55265046296</v>
      </c>
      <c r="J19" s="5"/>
      <c r="K19" s="6" t="s">
        <v>32</v>
      </c>
      <c r="L19" s="9" t="str">
        <f>_xlfn.XLOOKUP(TAB.cancelada[[#This Row],[Número]],'tabela ideias'!A:A,'tabela ideias'!O:O,"Não encontrado")</f>
        <v>OPERAÇÃO</v>
      </c>
    </row>
    <row r="20" spans="1:12" ht="43.5" x14ac:dyDescent="0.35">
      <c r="A20" s="6" t="s">
        <v>92</v>
      </c>
      <c r="B20" s="6" t="s">
        <v>93</v>
      </c>
      <c r="C20" s="6" t="s">
        <v>15</v>
      </c>
      <c r="D20" s="6" t="s">
        <v>94</v>
      </c>
      <c r="E20" s="6" t="s">
        <v>17</v>
      </c>
      <c r="F20" s="6" t="s">
        <v>61</v>
      </c>
      <c r="G20" s="5">
        <v>45849.871921296297</v>
      </c>
      <c r="H20" s="6" t="s">
        <v>86</v>
      </c>
      <c r="I20" s="5">
        <v>46120.702719907407</v>
      </c>
      <c r="J20" s="5"/>
      <c r="K20" s="6" t="s">
        <v>87</v>
      </c>
      <c r="L20" s="9" t="str">
        <f>_xlfn.XLOOKUP(TAB.cancelada[[#This Row],[Número]],'tabela ideias'!A:A,'tabela ideias'!O:O,"Não encontrado")</f>
        <v>OPERAÇÃO</v>
      </c>
    </row>
    <row r="21" spans="1:12" ht="145" x14ac:dyDescent="0.35">
      <c r="A21" s="6" t="s">
        <v>95</v>
      </c>
      <c r="B21" s="6" t="s">
        <v>96</v>
      </c>
      <c r="C21" s="6" t="s">
        <v>15</v>
      </c>
      <c r="D21" s="6" t="s">
        <v>97</v>
      </c>
      <c r="E21" s="6" t="s">
        <v>17</v>
      </c>
      <c r="F21" s="6" t="s">
        <v>18</v>
      </c>
      <c r="G21" s="5">
        <v>46107.547326388885</v>
      </c>
      <c r="H21" s="6" t="s">
        <v>98</v>
      </c>
      <c r="I21" s="5">
        <v>46205.597175925926</v>
      </c>
      <c r="J21" s="5" t="s">
        <v>99</v>
      </c>
      <c r="K21" s="6" t="s">
        <v>66</v>
      </c>
      <c r="L21" s="9" t="str">
        <f>_xlfn.XLOOKUP(TAB.cancelada[[#This Row],[Número]],'tabela ideias'!A:A,'tabela ideias'!O:O,"Não encontrado")</f>
        <v>ADM/TÉCNICO/ASSISTENTE/ESTAG.</v>
      </c>
    </row>
    <row r="22" spans="1:12" ht="43.5" x14ac:dyDescent="0.35">
      <c r="A22" s="6" t="s">
        <v>100</v>
      </c>
      <c r="B22" s="6" t="s">
        <v>101</v>
      </c>
      <c r="C22" s="6" t="s">
        <v>15</v>
      </c>
      <c r="D22" s="6" t="s">
        <v>102</v>
      </c>
      <c r="E22" s="6" t="s">
        <v>17</v>
      </c>
      <c r="F22" s="6" t="s">
        <v>24</v>
      </c>
      <c r="G22" s="5">
        <v>45608.787905092591</v>
      </c>
      <c r="H22" s="6" t="s">
        <v>86</v>
      </c>
      <c r="I22" s="5">
        <v>46099.399675925924</v>
      </c>
      <c r="J22" s="5"/>
      <c r="K22" s="6" t="s">
        <v>87</v>
      </c>
      <c r="L22" s="9" t="str">
        <f>_xlfn.XLOOKUP(TAB.cancelada[[#This Row],[Número]],'tabela ideias'!A:A,'tabela ideias'!O:O,"Não encontrado")</f>
        <v>OPERAÇÃO</v>
      </c>
    </row>
    <row r="23" spans="1:12" ht="43.5" x14ac:dyDescent="0.35">
      <c r="A23" s="6" t="s">
        <v>103</v>
      </c>
      <c r="B23" s="6" t="s">
        <v>104</v>
      </c>
      <c r="C23" s="6" t="s">
        <v>15</v>
      </c>
      <c r="D23" s="6" t="s">
        <v>58</v>
      </c>
      <c r="E23" s="6" t="s">
        <v>17</v>
      </c>
      <c r="F23" s="6" t="s">
        <v>30</v>
      </c>
      <c r="G23" s="5">
        <v>46008.632407407407</v>
      </c>
      <c r="H23" s="6" t="s">
        <v>50</v>
      </c>
      <c r="I23" s="5">
        <v>46156.617511574077</v>
      </c>
      <c r="J23" s="5" t="s">
        <v>105</v>
      </c>
      <c r="K23" s="6" t="s">
        <v>66</v>
      </c>
      <c r="L23" s="9" t="str">
        <f>_xlfn.XLOOKUP(TAB.cancelada[[#This Row],[Número]],'tabela ideias'!A:A,'tabela ideias'!O:O,"Não encontrado")</f>
        <v>ADM/TÉCNICO/ASSISTENTE/ESTAG.</v>
      </c>
    </row>
    <row r="24" spans="1:12" ht="43.5" x14ac:dyDescent="0.35">
      <c r="A24" s="6" t="s">
        <v>106</v>
      </c>
      <c r="B24" s="6" t="s">
        <v>107</v>
      </c>
      <c r="C24" s="6" t="s">
        <v>15</v>
      </c>
      <c r="D24" s="6" t="s">
        <v>108</v>
      </c>
      <c r="E24" s="6" t="s">
        <v>17</v>
      </c>
      <c r="F24" s="6" t="s">
        <v>61</v>
      </c>
      <c r="G24" s="5">
        <v>45740.635949074072</v>
      </c>
      <c r="H24" s="6" t="s">
        <v>19</v>
      </c>
      <c r="I24" s="5">
        <v>46170.510034722225</v>
      </c>
      <c r="J24" s="5" t="s">
        <v>109</v>
      </c>
      <c r="K24" s="6" t="s">
        <v>20</v>
      </c>
      <c r="L24" s="9" t="str">
        <f>_xlfn.XLOOKUP(TAB.cancelada[[#This Row],[Número]],'tabela ideias'!A:A,'tabela ideias'!O:O,"Não encontrado")</f>
        <v>ADM/TÉCNICO/ASSISTENTE/ESTAG.</v>
      </c>
    </row>
    <row r="25" spans="1:12" ht="58" x14ac:dyDescent="0.35">
      <c r="A25" s="6" t="s">
        <v>110</v>
      </c>
      <c r="B25" s="6" t="s">
        <v>111</v>
      </c>
      <c r="C25" s="6" t="s">
        <v>15</v>
      </c>
      <c r="D25" s="6" t="s">
        <v>81</v>
      </c>
      <c r="E25" s="6" t="s">
        <v>112</v>
      </c>
      <c r="F25" s="6" t="s">
        <v>24</v>
      </c>
      <c r="G25" s="5">
        <v>46080.34138888889</v>
      </c>
      <c r="H25" s="6" t="s">
        <v>31</v>
      </c>
      <c r="I25" s="5">
        <v>46132.763506944444</v>
      </c>
      <c r="J25" s="5"/>
      <c r="K25" s="6" t="s">
        <v>32</v>
      </c>
      <c r="L25" s="9" t="str">
        <f>_xlfn.XLOOKUP(TAB.cancelada[[#This Row],[Número]],'tabela ideias'!A:A,'tabela ideias'!O:O,"Não encontrado")</f>
        <v>OPERAÇÃO</v>
      </c>
    </row>
    <row r="26" spans="1:12" ht="58" x14ac:dyDescent="0.35">
      <c r="A26" s="6" t="s">
        <v>113</v>
      </c>
      <c r="B26" s="6" t="s">
        <v>114</v>
      </c>
      <c r="C26" s="6" t="s">
        <v>15</v>
      </c>
      <c r="D26" s="6" t="s">
        <v>29</v>
      </c>
      <c r="E26" s="6" t="s">
        <v>17</v>
      </c>
      <c r="F26" s="6" t="s">
        <v>18</v>
      </c>
      <c r="G26" s="5">
        <v>45957.475416666668</v>
      </c>
      <c r="H26" s="6" t="s">
        <v>50</v>
      </c>
      <c r="I26" s="5">
        <v>46156.665821759256</v>
      </c>
      <c r="J26" s="5"/>
      <c r="K26" s="6" t="s">
        <v>66</v>
      </c>
      <c r="L26" s="9" t="str">
        <f>_xlfn.XLOOKUP(TAB.cancelada[[#This Row],[Número]],'tabela ideias'!A:A,'tabela ideias'!O:O,"Não encontrado")</f>
        <v>ADM/TÉCNICO/ASSISTENTE/ESTAG.</v>
      </c>
    </row>
    <row r="27" spans="1:12" ht="72.5" x14ac:dyDescent="0.35">
      <c r="A27" s="6" t="s">
        <v>115</v>
      </c>
      <c r="B27" s="6" t="s">
        <v>116</v>
      </c>
      <c r="C27" s="6" t="s">
        <v>15</v>
      </c>
      <c r="D27" s="6" t="s">
        <v>117</v>
      </c>
      <c r="E27" s="6" t="s">
        <v>17</v>
      </c>
      <c r="F27" s="6" t="s">
        <v>61</v>
      </c>
      <c r="G27" s="5">
        <v>45945.412511574075</v>
      </c>
      <c r="H27" s="6" t="s">
        <v>50</v>
      </c>
      <c r="I27" s="5">
        <v>46156.632523148146</v>
      </c>
      <c r="J27" s="5" t="s">
        <v>74</v>
      </c>
      <c r="K27" s="6" t="s">
        <v>66</v>
      </c>
      <c r="L27" s="9" t="str">
        <f>_xlfn.XLOOKUP(TAB.cancelada[[#This Row],[Número]],'tabela ideias'!A:A,'tabela ideias'!O:O,"Não encontrado")</f>
        <v>ADM/TÉCNICO/ASSISTENTE/ESTAG.</v>
      </c>
    </row>
    <row r="28" spans="1:12" ht="43.5" x14ac:dyDescent="0.35">
      <c r="A28" s="6" t="s">
        <v>118</v>
      </c>
      <c r="B28" s="6" t="s">
        <v>119</v>
      </c>
      <c r="C28" s="6" t="s">
        <v>15</v>
      </c>
      <c r="D28" s="6" t="s">
        <v>120</v>
      </c>
      <c r="E28" s="6" t="s">
        <v>17</v>
      </c>
      <c r="F28" s="6" t="s">
        <v>61</v>
      </c>
      <c r="G28" s="5">
        <v>46141.310231481482</v>
      </c>
      <c r="H28" s="6" t="s">
        <v>31</v>
      </c>
      <c r="I28" s="5">
        <v>46237.43172453704</v>
      </c>
      <c r="J28" s="5" t="s">
        <v>78</v>
      </c>
      <c r="K28" s="6" t="s">
        <v>66</v>
      </c>
      <c r="L28" s="9" t="str">
        <f>_xlfn.XLOOKUP(TAB.cancelada[[#This Row],[Número]],'tabela ideias'!A:A,'tabela ideias'!O:O,"Não encontrado")</f>
        <v>OPERAÇÃO</v>
      </c>
    </row>
    <row r="29" spans="1:12" ht="159.5" x14ac:dyDescent="0.35">
      <c r="A29" s="6" t="s">
        <v>121</v>
      </c>
      <c r="B29" s="6" t="s">
        <v>122</v>
      </c>
      <c r="C29" s="6" t="s">
        <v>15</v>
      </c>
      <c r="D29" s="6" t="s">
        <v>123</v>
      </c>
      <c r="E29" s="6" t="s">
        <v>112</v>
      </c>
      <c r="F29" s="6" t="s">
        <v>124</v>
      </c>
      <c r="G29" s="5">
        <v>46188.623136574075</v>
      </c>
      <c r="H29" s="6" t="s">
        <v>19</v>
      </c>
      <c r="I29" s="5">
        <v>46192.455925925926</v>
      </c>
      <c r="J29" s="5"/>
      <c r="K29" s="6" t="s">
        <v>20</v>
      </c>
      <c r="L29" s="9" t="str">
        <f>_xlfn.XLOOKUP(TAB.cancelada[[#This Row],[Número]],'tabela ideias'!A:A,'tabela ideias'!O:O,"Não encontrado")</f>
        <v>ADM/TÉCNICO/ASSISTENTE/ESTAG.</v>
      </c>
    </row>
    <row r="30" spans="1:12" ht="58" x14ac:dyDescent="0.35">
      <c r="A30" s="6" t="s">
        <v>125</v>
      </c>
      <c r="B30" s="6" t="s">
        <v>126</v>
      </c>
      <c r="C30" s="6" t="s">
        <v>15</v>
      </c>
      <c r="D30" s="6" t="s">
        <v>127</v>
      </c>
      <c r="E30" s="6" t="s">
        <v>17</v>
      </c>
      <c r="F30" s="6" t="s">
        <v>30</v>
      </c>
      <c r="G30" s="5">
        <v>45594.157083333332</v>
      </c>
      <c r="H30" s="6" t="s">
        <v>25</v>
      </c>
      <c r="I30" s="5">
        <v>45859.447141203702</v>
      </c>
      <c r="J30" s="5" t="s">
        <v>123</v>
      </c>
      <c r="K30" s="6" t="s">
        <v>26</v>
      </c>
      <c r="L30" s="9" t="str">
        <f>_xlfn.XLOOKUP(TAB.cancelada[[#This Row],[Número]],'tabela ideias'!A:A,'tabela ideias'!O:O,"Não encontrado")</f>
        <v>ADM/TÉCNICO/ASSISTENTE/ESTAG.</v>
      </c>
    </row>
    <row r="31" spans="1:12" ht="43.5" x14ac:dyDescent="0.35">
      <c r="A31" s="6" t="s">
        <v>128</v>
      </c>
      <c r="B31" s="6" t="s">
        <v>129</v>
      </c>
      <c r="C31" s="6" t="s">
        <v>15</v>
      </c>
      <c r="D31" s="6" t="s">
        <v>16</v>
      </c>
      <c r="E31" s="6" t="s">
        <v>17</v>
      </c>
      <c r="F31" s="6" t="s">
        <v>54</v>
      </c>
      <c r="G31" s="5">
        <v>45596.581875000003</v>
      </c>
      <c r="H31" s="6" t="s">
        <v>91</v>
      </c>
      <c r="I31" s="5">
        <v>45811.456701388888</v>
      </c>
      <c r="J31" s="5" t="s">
        <v>130</v>
      </c>
      <c r="K31" s="6" t="s">
        <v>32</v>
      </c>
      <c r="L31" s="9" t="str">
        <f>_xlfn.XLOOKUP(TAB.cancelada[[#This Row],[Número]],'tabela ideias'!A:A,'tabela ideias'!O:O,"Não encontrado")</f>
        <v>OPERAÇÃO</v>
      </c>
    </row>
  </sheetData>
  <conditionalFormatting sqref="A1:A1048576">
    <cfRule type="duplicateValues" dxfId="8" priority="1"/>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dimension ref="A1:P1033"/>
  <sheetViews>
    <sheetView tabSelected="1" zoomScale="50" zoomScaleNormal="50" workbookViewId="0">
      <pane ySplit="1" topLeftCell="A519" activePane="bottomLeft" state="frozen"/>
      <selection pane="bottomLeft" activeCell="N515" sqref="N515"/>
    </sheetView>
  </sheetViews>
  <sheetFormatPr defaultRowHeight="15" customHeight="1" zeroHeight="1" x14ac:dyDescent="0.35"/>
  <cols>
    <col min="1" max="1" width="12.54296875" style="6" customWidth="1"/>
    <col min="2" max="2" width="37.453125" style="6" customWidth="1"/>
    <col min="3" max="3" width="14" customWidth="1"/>
    <col min="4" max="4" width="79.81640625" style="6" customWidth="1"/>
    <col min="5" max="5" width="14.1796875" style="6" bestFit="1" customWidth="1"/>
    <col min="6" max="6" width="18.54296875" style="6" bestFit="1" customWidth="1"/>
    <col min="7" max="7" width="14.453125" style="6" customWidth="1"/>
    <col min="8" max="8" width="22.453125" style="41" customWidth="1"/>
    <col min="9" max="9" width="17.1796875" style="6" customWidth="1"/>
    <col min="10" max="10" width="21.54296875" bestFit="1" customWidth="1"/>
    <col min="11" max="11" width="12.453125" style="6" customWidth="1"/>
    <col min="12" max="12" width="19.54296875" style="6" customWidth="1"/>
    <col min="13" max="13" width="13.1796875" hidden="1" customWidth="1"/>
    <col min="14" max="14" width="27.1796875" customWidth="1"/>
    <col min="15" max="15" width="37.81640625" bestFit="1" customWidth="1"/>
    <col min="16" max="16" width="12.1796875" customWidth="1"/>
  </cols>
  <sheetData>
    <row r="1" spans="1:16" ht="13.5" customHeight="1" x14ac:dyDescent="0.35">
      <c r="A1" s="1" t="s">
        <v>131</v>
      </c>
      <c r="B1" s="1" t="s">
        <v>1</v>
      </c>
      <c r="C1" s="1" t="s">
        <v>2</v>
      </c>
      <c r="D1" s="1" t="s">
        <v>132</v>
      </c>
      <c r="E1" s="1" t="s">
        <v>3</v>
      </c>
      <c r="F1" s="1" t="s">
        <v>4</v>
      </c>
      <c r="G1" s="1" t="s">
        <v>5</v>
      </c>
      <c r="H1" s="40" t="s">
        <v>6</v>
      </c>
      <c r="I1" s="1" t="s">
        <v>7</v>
      </c>
      <c r="J1" s="1" t="s">
        <v>8</v>
      </c>
      <c r="K1" s="1" t="s">
        <v>133</v>
      </c>
      <c r="L1" s="1" t="s">
        <v>10</v>
      </c>
      <c r="M1" s="1" t="s">
        <v>134</v>
      </c>
      <c r="N1" s="42" t="s">
        <v>135</v>
      </c>
      <c r="O1" s="1" t="s">
        <v>11</v>
      </c>
      <c r="P1" s="1" t="s">
        <v>136</v>
      </c>
    </row>
    <row r="2" spans="1:16" ht="97" customHeight="1" x14ac:dyDescent="0.35">
      <c r="A2" s="6" t="s">
        <v>137</v>
      </c>
      <c r="B2" s="6" t="s">
        <v>138</v>
      </c>
      <c r="C2" s="6" t="s">
        <v>15</v>
      </c>
      <c r="D2" s="6" t="s">
        <v>139</v>
      </c>
      <c r="E2" s="6" t="s">
        <v>140</v>
      </c>
      <c r="F2" s="6" t="s">
        <v>17</v>
      </c>
      <c r="G2" s="6" t="s">
        <v>61</v>
      </c>
      <c r="H2" s="5">
        <v>45506.412129629629</v>
      </c>
      <c r="I2" s="6" t="s">
        <v>50</v>
      </c>
      <c r="J2" s="5">
        <v>45552.653217592589</v>
      </c>
      <c r="L2" s="6" t="s">
        <v>66</v>
      </c>
      <c r="M2" s="5">
        <v>45552.653217592589</v>
      </c>
      <c r="N2" s="5" t="s">
        <v>15</v>
      </c>
      <c r="O2" s="45" t="str">
        <f>_xlfn.XLOOKUP(TAB.IDEIAS.TOTAL[[#This Row],[Enviado por]],'BASE DMOS'!A:A,'BASE DMOS'!C:C,"Não encontrado")</f>
        <v>OPERAÇÃO</v>
      </c>
      <c r="P2" t="s">
        <v>141</v>
      </c>
    </row>
    <row r="3" spans="1:16" ht="72.5" x14ac:dyDescent="0.35">
      <c r="A3" s="6" t="s">
        <v>142</v>
      </c>
      <c r="B3" s="6" t="s">
        <v>143</v>
      </c>
      <c r="C3" s="6" t="s">
        <v>134</v>
      </c>
      <c r="D3" s="6" t="s">
        <v>144</v>
      </c>
      <c r="E3" s="6" t="s">
        <v>145</v>
      </c>
      <c r="F3" s="6" t="s">
        <v>17</v>
      </c>
      <c r="G3" s="6" t="s">
        <v>24</v>
      </c>
      <c r="H3" s="5">
        <v>45509.401875000003</v>
      </c>
      <c r="I3" s="6" t="s">
        <v>25</v>
      </c>
      <c r="J3" s="5">
        <v>45839.432187500002</v>
      </c>
      <c r="K3" s="6" t="s">
        <v>105</v>
      </c>
      <c r="L3" s="6" t="s">
        <v>26</v>
      </c>
      <c r="M3" s="5">
        <v>45839.432187500002</v>
      </c>
      <c r="N3" s="5" t="s">
        <v>134</v>
      </c>
      <c r="O3" s="45" t="str">
        <f>_xlfn.XLOOKUP(TAB.IDEIAS.TOTAL[[#This Row],[Enviado por]],'BASE DMOS'!A:A,'BASE DMOS'!C:C,"Não encontrado")</f>
        <v>OPERAÇÃO</v>
      </c>
    </row>
    <row r="4" spans="1:16" ht="43.5" x14ac:dyDescent="0.35">
      <c r="A4" s="6" t="s">
        <v>146</v>
      </c>
      <c r="B4" s="6" t="s">
        <v>147</v>
      </c>
      <c r="C4" s="6" t="s">
        <v>148</v>
      </c>
      <c r="D4" s="6" t="s">
        <v>149</v>
      </c>
      <c r="E4" s="6" t="s">
        <v>150</v>
      </c>
      <c r="F4" s="6" t="s">
        <v>17</v>
      </c>
      <c r="G4" s="6" t="s">
        <v>30</v>
      </c>
      <c r="H4" s="5">
        <v>45510.229560185187</v>
      </c>
      <c r="I4" s="6" t="s">
        <v>91</v>
      </c>
      <c r="J4" s="5">
        <v>46142.687743055554</v>
      </c>
      <c r="K4" s="6" t="s">
        <v>151</v>
      </c>
      <c r="L4" s="6" t="s">
        <v>32</v>
      </c>
      <c r="M4" s="5"/>
      <c r="N4" s="5" t="s">
        <v>148</v>
      </c>
      <c r="O4" s="45" t="str">
        <f>_xlfn.XLOOKUP(TAB.IDEIAS.TOTAL[[#This Row],[Enviado por]],'BASE DMOS'!A:A,'BASE DMOS'!C:C,"Não encontrado")</f>
        <v>OPERAÇÃO</v>
      </c>
    </row>
    <row r="5" spans="1:16" ht="43.5" x14ac:dyDescent="0.35">
      <c r="A5" s="6" t="s">
        <v>152</v>
      </c>
      <c r="B5" s="6" t="s">
        <v>153</v>
      </c>
      <c r="C5" s="6" t="s">
        <v>15</v>
      </c>
      <c r="D5" s="6" t="s">
        <v>154</v>
      </c>
      <c r="E5" s="6" t="s">
        <v>120</v>
      </c>
      <c r="F5" s="6" t="s">
        <v>17</v>
      </c>
      <c r="G5" s="6" t="s">
        <v>30</v>
      </c>
      <c r="H5" s="5">
        <v>45510.246435185189</v>
      </c>
      <c r="I5" s="6" t="s">
        <v>31</v>
      </c>
      <c r="J5" s="5">
        <v>46140.565983796296</v>
      </c>
      <c r="L5" s="6" t="s">
        <v>32</v>
      </c>
      <c r="M5" s="5">
        <v>46140.565983796296</v>
      </c>
      <c r="N5" s="5" t="s">
        <v>15</v>
      </c>
      <c r="O5" s="45" t="str">
        <f>_xlfn.XLOOKUP(TAB.IDEIAS.TOTAL[[#This Row],[Enviado por]],'BASE DMOS'!A:A,'BASE DMOS'!C:C,"Não encontrado")</f>
        <v>OPERAÇÃO</v>
      </c>
    </row>
    <row r="6" spans="1:16" ht="145" x14ac:dyDescent="0.35">
      <c r="A6" s="6" t="s">
        <v>155</v>
      </c>
      <c r="B6" s="6" t="s">
        <v>156</v>
      </c>
      <c r="C6" s="6" t="s">
        <v>134</v>
      </c>
      <c r="D6" s="6" t="s">
        <v>157</v>
      </c>
      <c r="E6" s="6" t="s">
        <v>145</v>
      </c>
      <c r="F6" s="6" t="s">
        <v>17</v>
      </c>
      <c r="G6" s="6" t="s">
        <v>54</v>
      </c>
      <c r="H6" s="5">
        <v>45510.602523148147</v>
      </c>
      <c r="I6" s="6" t="s">
        <v>25</v>
      </c>
      <c r="J6" s="5">
        <v>45901.480983796297</v>
      </c>
      <c r="K6" s="6" t="s">
        <v>105</v>
      </c>
      <c r="L6" s="6" t="s">
        <v>26</v>
      </c>
      <c r="M6" s="5">
        <v>45901.480983796297</v>
      </c>
      <c r="N6" s="5" t="s">
        <v>134</v>
      </c>
      <c r="O6" s="45" t="str">
        <f>_xlfn.XLOOKUP(TAB.IDEIAS.TOTAL[[#This Row],[Enviado por]],'BASE DMOS'!A:A,'BASE DMOS'!C:C,"Não encontrado")</f>
        <v>OPERAÇÃO</v>
      </c>
    </row>
    <row r="7" spans="1:16" ht="29" x14ac:dyDescent="0.35">
      <c r="A7" s="6" t="s">
        <v>158</v>
      </c>
      <c r="B7" s="6" t="s">
        <v>159</v>
      </c>
      <c r="C7" s="6" t="s">
        <v>134</v>
      </c>
      <c r="D7" s="6" t="s">
        <v>160</v>
      </c>
      <c r="E7" s="6" t="s">
        <v>161</v>
      </c>
      <c r="F7" s="6" t="s">
        <v>17</v>
      </c>
      <c r="G7" s="6" t="s">
        <v>61</v>
      </c>
      <c r="H7" s="5">
        <v>45512.688171296293</v>
      </c>
      <c r="I7" s="6" t="s">
        <v>162</v>
      </c>
      <c r="J7" s="5">
        <v>45523.562696759262</v>
      </c>
      <c r="K7" s="6" t="s">
        <v>161</v>
      </c>
      <c r="L7" s="6" t="s">
        <v>163</v>
      </c>
      <c r="M7" s="5">
        <v>45523.562696759262</v>
      </c>
      <c r="N7" s="5" t="s">
        <v>134</v>
      </c>
      <c r="O7" s="45" t="str">
        <f>_xlfn.XLOOKUP(TAB.IDEIAS.TOTAL[[#This Row],[Enviado por]],'BASE DMOS'!A:A,'BASE DMOS'!C:C,"Não encontrado")</f>
        <v>ADM/TÉCNICO/ASSISTENTE/ESTAG.</v>
      </c>
    </row>
    <row r="8" spans="1:16" ht="29" x14ac:dyDescent="0.35">
      <c r="A8" s="6" t="s">
        <v>164</v>
      </c>
      <c r="B8" s="6" t="s">
        <v>165</v>
      </c>
      <c r="C8" s="6" t="s">
        <v>134</v>
      </c>
      <c r="D8" s="6" t="s">
        <v>166</v>
      </c>
      <c r="E8" s="6" t="s">
        <v>161</v>
      </c>
      <c r="F8" s="6" t="s">
        <v>17</v>
      </c>
      <c r="G8" s="6" t="s">
        <v>61</v>
      </c>
      <c r="H8" s="5">
        <v>45512.694027777776</v>
      </c>
      <c r="I8" s="6" t="s">
        <v>162</v>
      </c>
      <c r="J8" s="5">
        <v>45527.624780092592</v>
      </c>
      <c r="K8" s="6" t="s">
        <v>161</v>
      </c>
      <c r="L8" s="6" t="s">
        <v>163</v>
      </c>
      <c r="M8" s="5">
        <v>45527.624780092592</v>
      </c>
      <c r="N8" s="5" t="s">
        <v>134</v>
      </c>
      <c r="O8" s="45" t="str">
        <f>_xlfn.XLOOKUP(TAB.IDEIAS.TOTAL[[#This Row],[Enviado por]],'BASE DMOS'!A:A,'BASE DMOS'!C:C,"Não encontrado")</f>
        <v>ADM/TÉCNICO/ASSISTENTE/ESTAG.</v>
      </c>
      <c r="P8" t="s">
        <v>167</v>
      </c>
    </row>
    <row r="9" spans="1:16" ht="29" x14ac:dyDescent="0.35">
      <c r="A9" s="6" t="s">
        <v>168</v>
      </c>
      <c r="B9" s="6" t="s">
        <v>169</v>
      </c>
      <c r="C9" s="6" t="s">
        <v>134</v>
      </c>
      <c r="D9" s="6" t="s">
        <v>170</v>
      </c>
      <c r="E9" s="6" t="s">
        <v>161</v>
      </c>
      <c r="F9" s="6" t="s">
        <v>17</v>
      </c>
      <c r="G9" s="6" t="s">
        <v>61</v>
      </c>
      <c r="H9" s="5">
        <v>45512.704074074078</v>
      </c>
      <c r="I9" s="6" t="s">
        <v>162</v>
      </c>
      <c r="J9" s="5">
        <v>45639.630243055559</v>
      </c>
      <c r="K9" s="6" t="s">
        <v>161</v>
      </c>
      <c r="L9" s="6" t="s">
        <v>163</v>
      </c>
      <c r="M9" s="5">
        <v>45639.630243055559</v>
      </c>
      <c r="N9" s="5" t="s">
        <v>134</v>
      </c>
      <c r="O9" s="45" t="str">
        <f>_xlfn.XLOOKUP(TAB.IDEIAS.TOTAL[[#This Row],[Enviado por]],'BASE DMOS'!A:A,'BASE DMOS'!C:C,"Não encontrado")</f>
        <v>ADM/TÉCNICO/ASSISTENTE/ESTAG.</v>
      </c>
    </row>
    <row r="10" spans="1:16" ht="29" x14ac:dyDescent="0.35">
      <c r="A10" s="6" t="s">
        <v>171</v>
      </c>
      <c r="B10" s="6" t="s">
        <v>172</v>
      </c>
      <c r="C10" s="6" t="s">
        <v>15</v>
      </c>
      <c r="D10" s="6" t="s">
        <v>173</v>
      </c>
      <c r="E10" s="6" t="s">
        <v>140</v>
      </c>
      <c r="F10" s="6" t="s">
        <v>17</v>
      </c>
      <c r="G10" s="6" t="s">
        <v>61</v>
      </c>
      <c r="H10" s="5">
        <v>45513.304652777777</v>
      </c>
      <c r="I10" s="6" t="s">
        <v>174</v>
      </c>
      <c r="J10" s="5">
        <v>45769.668657407405</v>
      </c>
      <c r="L10" s="6" t="s">
        <v>66</v>
      </c>
      <c r="M10" s="5">
        <v>45769.668657407405</v>
      </c>
      <c r="N10" s="5" t="s">
        <v>15</v>
      </c>
      <c r="O10" s="45" t="str">
        <f>_xlfn.XLOOKUP(TAB.IDEIAS.TOTAL[[#This Row],[Enviado por]],'BASE DMOS'!A:A,'BASE DMOS'!C:C,"Não encontrado")</f>
        <v>OPERAÇÃO</v>
      </c>
    </row>
    <row r="11" spans="1:16" ht="43.5" x14ac:dyDescent="0.35">
      <c r="A11" s="6" t="s">
        <v>175</v>
      </c>
      <c r="B11" s="6" t="s">
        <v>176</v>
      </c>
      <c r="C11" s="6" t="s">
        <v>134</v>
      </c>
      <c r="D11" s="6" t="s">
        <v>177</v>
      </c>
      <c r="E11" s="6" t="s">
        <v>161</v>
      </c>
      <c r="F11" s="6" t="s">
        <v>17</v>
      </c>
      <c r="G11" s="6" t="s">
        <v>24</v>
      </c>
      <c r="H11" s="5">
        <v>45513.343159722222</v>
      </c>
      <c r="I11" s="6" t="s">
        <v>162</v>
      </c>
      <c r="J11" s="5">
        <v>45531.609027777777</v>
      </c>
      <c r="K11" s="6" t="s">
        <v>161</v>
      </c>
      <c r="L11" s="6" t="s">
        <v>163</v>
      </c>
      <c r="M11" s="5">
        <v>45531.609027777777</v>
      </c>
      <c r="N11" s="5" t="s">
        <v>134</v>
      </c>
      <c r="O11" s="45" t="str">
        <f>_xlfn.XLOOKUP(TAB.IDEIAS.TOTAL[[#This Row],[Enviado por]],'BASE DMOS'!A:A,'BASE DMOS'!C:C,"Não encontrado")</f>
        <v>ADM/TÉCNICO/ASSISTENTE/ESTAG.</v>
      </c>
    </row>
    <row r="12" spans="1:16" ht="43.5" x14ac:dyDescent="0.35">
      <c r="A12" s="6" t="s">
        <v>178</v>
      </c>
      <c r="B12" s="6" t="s">
        <v>179</v>
      </c>
      <c r="C12" s="6" t="s">
        <v>148</v>
      </c>
      <c r="D12" s="6" t="s">
        <v>180</v>
      </c>
      <c r="E12" s="6" t="s">
        <v>150</v>
      </c>
      <c r="F12" s="6" t="s">
        <v>17</v>
      </c>
      <c r="G12" s="6" t="s">
        <v>54</v>
      </c>
      <c r="H12" s="5">
        <v>45516.215358796297</v>
      </c>
      <c r="I12" s="6" t="s">
        <v>73</v>
      </c>
      <c r="J12" s="5">
        <v>45807.392465277779</v>
      </c>
      <c r="L12" s="6" t="s">
        <v>181</v>
      </c>
      <c r="M12" s="5"/>
      <c r="N12" s="5" t="s">
        <v>148</v>
      </c>
      <c r="O12" s="45" t="str">
        <f>_xlfn.XLOOKUP(TAB.IDEIAS.TOTAL[[#This Row],[Enviado por]],'BASE DMOS'!A:A,'BASE DMOS'!C:C,"Não encontrado")</f>
        <v>OPERAÇÃO</v>
      </c>
    </row>
    <row r="13" spans="1:16" ht="130.5" x14ac:dyDescent="0.35">
      <c r="A13" s="6" t="s">
        <v>182</v>
      </c>
      <c r="B13" s="6" t="s">
        <v>183</v>
      </c>
      <c r="C13" s="6" t="s">
        <v>184</v>
      </c>
      <c r="D13" s="6" t="s">
        <v>185</v>
      </c>
      <c r="E13" s="6" t="s">
        <v>145</v>
      </c>
      <c r="F13" s="6" t="s">
        <v>17</v>
      </c>
      <c r="G13" s="6" t="s">
        <v>18</v>
      </c>
      <c r="H13" s="5">
        <v>45516.386006944442</v>
      </c>
      <c r="I13" s="6" t="s">
        <v>25</v>
      </c>
      <c r="J13" s="5">
        <v>46202.757800925923</v>
      </c>
      <c r="K13" s="6" t="s">
        <v>78</v>
      </c>
      <c r="L13" s="6" t="s">
        <v>66</v>
      </c>
      <c r="M13" s="5"/>
      <c r="N13" s="43" t="s">
        <v>186</v>
      </c>
      <c r="O13" s="45" t="str">
        <f>_xlfn.XLOOKUP(TAB.IDEIAS.TOTAL[[#This Row],[Enviado por]],'BASE DMOS'!A:A,'BASE DMOS'!C:C,"Não encontrado")</f>
        <v>OPERAÇÃO</v>
      </c>
    </row>
    <row r="14" spans="1:16" ht="72.5" x14ac:dyDescent="0.35">
      <c r="A14" s="6" t="s">
        <v>187</v>
      </c>
      <c r="B14" s="6" t="s">
        <v>188</v>
      </c>
      <c r="C14" s="6" t="s">
        <v>134</v>
      </c>
      <c r="D14" s="6" t="s">
        <v>189</v>
      </c>
      <c r="E14" s="6" t="s">
        <v>145</v>
      </c>
      <c r="F14" s="6" t="s">
        <v>17</v>
      </c>
      <c r="G14" s="6" t="s">
        <v>18</v>
      </c>
      <c r="H14" s="5">
        <v>45516.397638888891</v>
      </c>
      <c r="I14" s="6" t="s">
        <v>25</v>
      </c>
      <c r="J14" s="5">
        <v>45839.431817129633</v>
      </c>
      <c r="K14" s="6" t="s">
        <v>123</v>
      </c>
      <c r="L14" s="6" t="s">
        <v>26</v>
      </c>
      <c r="M14" s="5">
        <v>45839.431817129633</v>
      </c>
      <c r="N14" s="5" t="s">
        <v>134</v>
      </c>
      <c r="O14" s="45" t="str">
        <f>_xlfn.XLOOKUP(TAB.IDEIAS.TOTAL[[#This Row],[Enviado por]],'BASE DMOS'!A:A,'BASE DMOS'!C:C,"Não encontrado")</f>
        <v>OPERAÇÃO</v>
      </c>
    </row>
    <row r="15" spans="1:16" ht="29" x14ac:dyDescent="0.35">
      <c r="A15" s="6" t="s">
        <v>190</v>
      </c>
      <c r="B15" s="6" t="s">
        <v>191</v>
      </c>
      <c r="C15" s="6" t="s">
        <v>15</v>
      </c>
      <c r="D15" s="6" t="s">
        <v>192</v>
      </c>
      <c r="E15" s="6" t="s">
        <v>193</v>
      </c>
      <c r="F15" s="6" t="s">
        <v>17</v>
      </c>
      <c r="G15" s="6" t="s">
        <v>18</v>
      </c>
      <c r="H15" s="5">
        <v>45517.006030092591</v>
      </c>
      <c r="I15" s="6" t="s">
        <v>36</v>
      </c>
      <c r="J15" s="5">
        <v>45551.689259259256</v>
      </c>
      <c r="L15" s="6" t="s">
        <v>66</v>
      </c>
      <c r="M15" s="5">
        <v>45551.689259259256</v>
      </c>
      <c r="N15" s="5" t="s">
        <v>15</v>
      </c>
      <c r="O15" s="45" t="str">
        <f>_xlfn.XLOOKUP(TAB.IDEIAS.TOTAL[[#This Row],[Enviado por]],'BASE DMOS'!A:A,'BASE DMOS'!C:C,"Não encontrado")</f>
        <v>OPERAÇÃO</v>
      </c>
    </row>
    <row r="16" spans="1:16" ht="101.5" x14ac:dyDescent="0.35">
      <c r="A16" s="6" t="s">
        <v>194</v>
      </c>
      <c r="B16" s="6" t="s">
        <v>195</v>
      </c>
      <c r="C16" s="6" t="s">
        <v>134</v>
      </c>
      <c r="D16" s="6" t="s">
        <v>196</v>
      </c>
      <c r="E16" s="6" t="s">
        <v>197</v>
      </c>
      <c r="F16" s="6" t="s">
        <v>17</v>
      </c>
      <c r="G16" s="6" t="s">
        <v>18</v>
      </c>
      <c r="H16" s="5">
        <v>45517.360138888886</v>
      </c>
      <c r="I16" s="6" t="s">
        <v>25</v>
      </c>
      <c r="J16" s="5">
        <v>45594.546689814815</v>
      </c>
      <c r="L16" s="6" t="s">
        <v>26</v>
      </c>
      <c r="M16" s="5">
        <v>45594.546689814815</v>
      </c>
      <c r="N16" s="5" t="s">
        <v>134</v>
      </c>
      <c r="O16" s="45" t="str">
        <f>_xlfn.XLOOKUP(TAB.IDEIAS.TOTAL[[#This Row],[Enviado por]],'BASE DMOS'!A:A,'BASE DMOS'!C:C,"Não encontrado")</f>
        <v>OPERAÇÃO</v>
      </c>
    </row>
    <row r="17" spans="1:16" ht="116" x14ac:dyDescent="0.35">
      <c r="A17" s="6" t="s">
        <v>198</v>
      </c>
      <c r="B17" s="6" t="s">
        <v>199</v>
      </c>
      <c r="C17" s="6" t="s">
        <v>134</v>
      </c>
      <c r="D17" s="6" t="s">
        <v>200</v>
      </c>
      <c r="E17" s="6" t="s">
        <v>145</v>
      </c>
      <c r="F17" s="6" t="s">
        <v>17</v>
      </c>
      <c r="G17" s="6" t="s">
        <v>18</v>
      </c>
      <c r="H17" s="5">
        <v>45517.375775462962</v>
      </c>
      <c r="I17" s="6" t="s">
        <v>25</v>
      </c>
      <c r="J17" s="5">
        <v>45842.422361111108</v>
      </c>
      <c r="K17" s="6" t="s">
        <v>123</v>
      </c>
      <c r="L17" s="6" t="s">
        <v>26</v>
      </c>
      <c r="M17" s="5">
        <v>45842.422361111108</v>
      </c>
      <c r="N17" s="5" t="s">
        <v>134</v>
      </c>
      <c r="O17" s="45" t="str">
        <f>_xlfn.XLOOKUP(TAB.IDEIAS.TOTAL[[#This Row],[Enviado por]],'BASE DMOS'!A:A,'BASE DMOS'!C:C,"Não encontrado")</f>
        <v>OPERAÇÃO</v>
      </c>
    </row>
    <row r="18" spans="1:16" ht="58" x14ac:dyDescent="0.35">
      <c r="A18" s="6" t="s">
        <v>201</v>
      </c>
      <c r="B18" s="6" t="s">
        <v>202</v>
      </c>
      <c r="C18" s="6" t="s">
        <v>184</v>
      </c>
      <c r="D18" s="6" t="s">
        <v>203</v>
      </c>
      <c r="E18" s="6" t="s">
        <v>94</v>
      </c>
      <c r="F18" s="6" t="s">
        <v>17</v>
      </c>
      <c r="G18" s="6" t="s">
        <v>24</v>
      </c>
      <c r="H18" s="5">
        <v>45518.07476851852</v>
      </c>
      <c r="I18" s="6" t="s">
        <v>204</v>
      </c>
      <c r="J18" s="5">
        <v>45526.450752314813</v>
      </c>
      <c r="K18" s="6" t="s">
        <v>205</v>
      </c>
      <c r="L18" s="6" t="s">
        <v>163</v>
      </c>
      <c r="M18" s="5"/>
      <c r="N18" s="43" t="s">
        <v>186</v>
      </c>
      <c r="O18" s="45" t="str">
        <f>_xlfn.XLOOKUP(TAB.IDEIAS.TOTAL[[#This Row],[Enviado por]],'BASE DMOS'!A:A,'BASE DMOS'!C:C,"Não encontrado")</f>
        <v>OPERAÇÃO</v>
      </c>
    </row>
    <row r="19" spans="1:16" ht="58" x14ac:dyDescent="0.35">
      <c r="A19" s="6" t="s">
        <v>206</v>
      </c>
      <c r="B19" s="6" t="s">
        <v>207</v>
      </c>
      <c r="C19" s="6" t="s">
        <v>148</v>
      </c>
      <c r="D19" s="6" t="s">
        <v>208</v>
      </c>
      <c r="E19" s="6" t="s">
        <v>94</v>
      </c>
      <c r="F19" s="6" t="s">
        <v>17</v>
      </c>
      <c r="G19" s="6" t="s">
        <v>30</v>
      </c>
      <c r="H19" s="5">
        <v>45518.079016203701</v>
      </c>
      <c r="I19" s="6" t="s">
        <v>204</v>
      </c>
      <c r="J19" s="5">
        <v>46210.501666666663</v>
      </c>
      <c r="K19" s="6" t="s">
        <v>49</v>
      </c>
      <c r="L19" s="6" t="s">
        <v>66</v>
      </c>
      <c r="M19" s="5"/>
      <c r="N19" s="5" t="s">
        <v>148</v>
      </c>
      <c r="O19" s="45" t="str">
        <f>_xlfn.XLOOKUP(TAB.IDEIAS.TOTAL[[#This Row],[Enviado por]],'BASE DMOS'!A:A,'BASE DMOS'!C:C,"Não encontrado")</f>
        <v>OPERAÇÃO</v>
      </c>
    </row>
    <row r="20" spans="1:16" ht="43.5" x14ac:dyDescent="0.35">
      <c r="A20" s="6" t="s">
        <v>209</v>
      </c>
      <c r="B20" s="6" t="s">
        <v>210</v>
      </c>
      <c r="C20" s="6" t="s">
        <v>184</v>
      </c>
      <c r="D20" s="6" t="s">
        <v>211</v>
      </c>
      <c r="E20" s="6" t="s">
        <v>212</v>
      </c>
      <c r="F20" s="6" t="s">
        <v>17</v>
      </c>
      <c r="G20" s="6" t="s">
        <v>213</v>
      </c>
      <c r="H20" s="5">
        <v>45518.120381944442</v>
      </c>
      <c r="I20" s="6" t="s">
        <v>214</v>
      </c>
      <c r="J20" s="5">
        <v>45960.603113425925</v>
      </c>
      <c r="K20" s="6" t="s">
        <v>78</v>
      </c>
      <c r="L20" s="6" t="s">
        <v>32</v>
      </c>
      <c r="M20" s="5"/>
      <c r="N20" s="14" t="s">
        <v>215</v>
      </c>
      <c r="O20" s="45" t="str">
        <f>_xlfn.XLOOKUP(TAB.IDEIAS.TOTAL[[#This Row],[Enviado por]],'BASE DMOS'!A:A,'BASE DMOS'!C:C,"Não encontrado")</f>
        <v>OPERAÇÃO</v>
      </c>
    </row>
    <row r="21" spans="1:16" ht="58" x14ac:dyDescent="0.35">
      <c r="A21" s="6" t="s">
        <v>216</v>
      </c>
      <c r="B21" s="6" t="s">
        <v>217</v>
      </c>
      <c r="C21" s="6" t="s">
        <v>134</v>
      </c>
      <c r="D21" s="6" t="s">
        <v>218</v>
      </c>
      <c r="E21" s="6" t="s">
        <v>16</v>
      </c>
      <c r="F21" s="6" t="s">
        <v>17</v>
      </c>
      <c r="G21" s="6" t="s">
        <v>30</v>
      </c>
      <c r="H21" s="5">
        <v>45520.408067129632</v>
      </c>
      <c r="I21" s="6" t="s">
        <v>91</v>
      </c>
      <c r="J21" s="5">
        <v>45862.592291666668</v>
      </c>
      <c r="K21" s="6" t="s">
        <v>123</v>
      </c>
      <c r="L21" s="6" t="s">
        <v>32</v>
      </c>
      <c r="M21" s="5">
        <v>45862.592291666668</v>
      </c>
      <c r="N21" s="5" t="s">
        <v>134</v>
      </c>
      <c r="O21" s="45" t="str">
        <f>_xlfn.XLOOKUP(TAB.IDEIAS.TOTAL[[#This Row],[Enviado por]],'BASE DMOS'!A:A,'BASE DMOS'!C:C,"Não encontrado")</f>
        <v>OPERAÇÃO</v>
      </c>
    </row>
    <row r="22" spans="1:16" ht="87" x14ac:dyDescent="0.35">
      <c r="A22" s="6" t="s">
        <v>219</v>
      </c>
      <c r="B22" s="6" t="s">
        <v>220</v>
      </c>
      <c r="C22" s="6" t="s">
        <v>134</v>
      </c>
      <c r="D22" s="6" t="s">
        <v>221</v>
      </c>
      <c r="E22" s="6" t="s">
        <v>222</v>
      </c>
      <c r="F22" s="6" t="s">
        <v>17</v>
      </c>
      <c r="G22" s="6" t="s">
        <v>61</v>
      </c>
      <c r="H22" s="5">
        <v>45520.483020833337</v>
      </c>
      <c r="I22" s="6" t="s">
        <v>204</v>
      </c>
      <c r="J22" s="5">
        <v>45595.357789351852</v>
      </c>
      <c r="K22" s="6" t="s">
        <v>161</v>
      </c>
      <c r="L22" s="6" t="s">
        <v>163</v>
      </c>
      <c r="M22" s="5">
        <v>45595.357789351852</v>
      </c>
      <c r="N22" s="5" t="s">
        <v>134</v>
      </c>
      <c r="O22" s="45" t="str">
        <f>_xlfn.XLOOKUP(TAB.IDEIAS.TOTAL[[#This Row],[Enviado por]],'BASE DMOS'!A:A,'BASE DMOS'!C:C,"Não encontrado")</f>
        <v>OPERAÇÃO</v>
      </c>
    </row>
    <row r="23" spans="1:16" ht="43.5" x14ac:dyDescent="0.35">
      <c r="A23" s="6" t="s">
        <v>223</v>
      </c>
      <c r="B23" s="6" t="s">
        <v>224</v>
      </c>
      <c r="C23" s="6" t="s">
        <v>15</v>
      </c>
      <c r="D23" s="6" t="s">
        <v>225</v>
      </c>
      <c r="E23" s="6" t="s">
        <v>226</v>
      </c>
      <c r="F23" s="6" t="s">
        <v>17</v>
      </c>
      <c r="G23" s="6" t="s">
        <v>24</v>
      </c>
      <c r="H23" s="5">
        <v>45523.72755787037</v>
      </c>
      <c r="I23" s="6" t="s">
        <v>227</v>
      </c>
      <c r="J23" s="5">
        <v>45771.476909722223</v>
      </c>
      <c r="L23" s="6" t="s">
        <v>228</v>
      </c>
      <c r="M23" s="5">
        <v>45771.476909722223</v>
      </c>
      <c r="N23" s="5" t="s">
        <v>15</v>
      </c>
      <c r="O23" s="45" t="str">
        <f>_xlfn.XLOOKUP(TAB.IDEIAS.TOTAL[[#This Row],[Enviado por]],'BASE DMOS'!A:A,'BASE DMOS'!C:C,"Não encontrado")</f>
        <v>OPERAÇÃO</v>
      </c>
    </row>
    <row r="24" spans="1:16" ht="174" x14ac:dyDescent="0.35">
      <c r="A24" s="6" t="s">
        <v>229</v>
      </c>
      <c r="B24" s="6" t="s">
        <v>230</v>
      </c>
      <c r="C24" s="6" t="s">
        <v>184</v>
      </c>
      <c r="D24" s="6" t="s">
        <v>231</v>
      </c>
      <c r="E24" s="6" t="s">
        <v>226</v>
      </c>
      <c r="F24" s="6" t="s">
        <v>17</v>
      </c>
      <c r="G24" s="6" t="s">
        <v>24</v>
      </c>
      <c r="H24" s="5">
        <v>45523.733842592592</v>
      </c>
      <c r="I24" s="6" t="s">
        <v>204</v>
      </c>
      <c r="J24" s="5">
        <v>46132.774583333332</v>
      </c>
      <c r="K24" s="6" t="s">
        <v>151</v>
      </c>
      <c r="L24" s="6" t="s">
        <v>163</v>
      </c>
      <c r="M24" s="5"/>
      <c r="N24" s="14" t="s">
        <v>232</v>
      </c>
      <c r="O24" s="45" t="str">
        <f>_xlfn.XLOOKUP(TAB.IDEIAS.TOTAL[[#This Row],[Enviado por]],'BASE DMOS'!A:A,'BASE DMOS'!C:C,"Não encontrado")</f>
        <v>OPERAÇÃO</v>
      </c>
    </row>
    <row r="25" spans="1:16" ht="72.5" x14ac:dyDescent="0.35">
      <c r="A25" s="6" t="s">
        <v>233</v>
      </c>
      <c r="B25" s="6" t="s">
        <v>234</v>
      </c>
      <c r="C25" s="6" t="s">
        <v>134</v>
      </c>
      <c r="D25" s="6" t="s">
        <v>235</v>
      </c>
      <c r="E25" s="6" t="s">
        <v>222</v>
      </c>
      <c r="F25" s="6" t="s">
        <v>17</v>
      </c>
      <c r="G25" s="6" t="s">
        <v>61</v>
      </c>
      <c r="H25" s="5">
        <v>45527.302141203705</v>
      </c>
      <c r="I25" s="6" t="s">
        <v>204</v>
      </c>
      <c r="J25" s="5">
        <v>45639.627962962964</v>
      </c>
      <c r="K25" s="6" t="s">
        <v>161</v>
      </c>
      <c r="L25" s="6" t="s">
        <v>163</v>
      </c>
      <c r="M25" s="5">
        <v>45639.627962962964</v>
      </c>
      <c r="N25" s="5" t="s">
        <v>134</v>
      </c>
      <c r="O25" s="45" t="str">
        <f>_xlfn.XLOOKUP(TAB.IDEIAS.TOTAL[[#This Row],[Enviado por]],'BASE DMOS'!A:A,'BASE DMOS'!C:C,"Não encontrado")</f>
        <v>OPERAÇÃO</v>
      </c>
    </row>
    <row r="26" spans="1:16" ht="29" x14ac:dyDescent="0.35">
      <c r="A26" s="6" t="s">
        <v>236</v>
      </c>
      <c r="B26" s="6" t="s">
        <v>237</v>
      </c>
      <c r="C26" s="6" t="s">
        <v>134</v>
      </c>
      <c r="D26" s="6" t="s">
        <v>238</v>
      </c>
      <c r="E26" s="6" t="s">
        <v>85</v>
      </c>
      <c r="F26" s="6" t="s">
        <v>17</v>
      </c>
      <c r="G26" s="6" t="s">
        <v>124</v>
      </c>
      <c r="H26" s="5">
        <v>45530.475462962961</v>
      </c>
      <c r="I26" s="6" t="s">
        <v>25</v>
      </c>
      <c r="J26" s="5">
        <v>45594.580057870371</v>
      </c>
      <c r="L26" s="6" t="s">
        <v>26</v>
      </c>
      <c r="M26" s="5">
        <v>45594.580057870371</v>
      </c>
      <c r="N26" s="5" t="s">
        <v>134</v>
      </c>
      <c r="O26" s="45" t="str">
        <f>_xlfn.XLOOKUP(TAB.IDEIAS.TOTAL[[#This Row],[Enviado por]],'BASE DMOS'!A:A,'BASE DMOS'!C:C,"Não encontrado")</f>
        <v>ADM/TÉCNICO/ASSISTENTE/ESTAG.</v>
      </c>
    </row>
    <row r="27" spans="1:16" ht="290" x14ac:dyDescent="0.35">
      <c r="A27" s="6" t="s">
        <v>239</v>
      </c>
      <c r="B27" s="6" t="s">
        <v>240</v>
      </c>
      <c r="C27" s="6" t="s">
        <v>184</v>
      </c>
      <c r="D27" s="6" t="s">
        <v>241</v>
      </c>
      <c r="E27" s="6" t="s">
        <v>150</v>
      </c>
      <c r="F27" s="6" t="s">
        <v>17</v>
      </c>
      <c r="G27" s="6" t="s">
        <v>61</v>
      </c>
      <c r="H27" s="5">
        <v>45532.232870370368</v>
      </c>
      <c r="I27" s="6" t="s">
        <v>242</v>
      </c>
      <c r="J27" s="5">
        <v>46206.450578703705</v>
      </c>
      <c r="K27" s="6" t="s">
        <v>243</v>
      </c>
      <c r="L27" s="6" t="s">
        <v>66</v>
      </c>
      <c r="M27" s="5"/>
      <c r="N27" s="43" t="s">
        <v>186</v>
      </c>
      <c r="O27" s="45" t="str">
        <f>_xlfn.XLOOKUP(TAB.IDEIAS.TOTAL[[#This Row],[Enviado por]],'BASE DMOS'!A:A,'BASE DMOS'!C:C,"Não encontrado")</f>
        <v>OPERAÇÃO</v>
      </c>
    </row>
    <row r="28" spans="1:16" ht="87" x14ac:dyDescent="0.35">
      <c r="A28" s="6" t="s">
        <v>244</v>
      </c>
      <c r="B28" s="6" t="s">
        <v>245</v>
      </c>
      <c r="C28" s="6" t="s">
        <v>148</v>
      </c>
      <c r="D28" s="6" t="s">
        <v>246</v>
      </c>
      <c r="E28" s="6" t="s">
        <v>145</v>
      </c>
      <c r="F28" s="6" t="s">
        <v>17</v>
      </c>
      <c r="G28" s="6" t="s">
        <v>54</v>
      </c>
      <c r="H28" s="5">
        <v>45546.51357638889</v>
      </c>
      <c r="I28" s="6" t="s">
        <v>25</v>
      </c>
      <c r="J28" s="5">
        <v>46049.548958333333</v>
      </c>
      <c r="K28" s="6" t="s">
        <v>247</v>
      </c>
      <c r="L28" s="6" t="s">
        <v>26</v>
      </c>
      <c r="M28" s="5"/>
      <c r="N28" s="5" t="s">
        <v>148</v>
      </c>
      <c r="O28" s="45" t="str">
        <f>_xlfn.XLOOKUP(TAB.IDEIAS.TOTAL[[#This Row],[Enviado por]],'BASE DMOS'!A:A,'BASE DMOS'!C:C,"Não encontrado")</f>
        <v>OPERAÇÃO</v>
      </c>
      <c r="P28" t="s">
        <v>248</v>
      </c>
    </row>
    <row r="29" spans="1:16" ht="43.5" x14ac:dyDescent="0.35">
      <c r="A29" s="6" t="s">
        <v>249</v>
      </c>
      <c r="B29" s="6" t="s">
        <v>250</v>
      </c>
      <c r="C29" s="6" t="s">
        <v>15</v>
      </c>
      <c r="D29" s="6" t="s">
        <v>251</v>
      </c>
      <c r="E29" s="6" t="s">
        <v>252</v>
      </c>
      <c r="F29" s="6" t="s">
        <v>17</v>
      </c>
      <c r="G29" s="6" t="s">
        <v>61</v>
      </c>
      <c r="H29" s="5">
        <v>45552.915289351855</v>
      </c>
      <c r="I29" s="6" t="s">
        <v>50</v>
      </c>
      <c r="J29" s="5">
        <v>45770.461875000001</v>
      </c>
      <c r="L29" s="6" t="s">
        <v>66</v>
      </c>
      <c r="M29" s="5">
        <v>45770.461875000001</v>
      </c>
      <c r="N29" s="5" t="s">
        <v>15</v>
      </c>
      <c r="O29" s="45" t="str">
        <f>_xlfn.XLOOKUP(TAB.IDEIAS.TOTAL[[#This Row],[Enviado por]],'BASE DMOS'!A:A,'BASE DMOS'!C:C,"Não encontrado")</f>
        <v>ADM/TÉCNICO/ASSISTENTE/ESTAG.</v>
      </c>
    </row>
    <row r="30" spans="1:16" ht="72.5" x14ac:dyDescent="0.35">
      <c r="A30" s="6" t="s">
        <v>253</v>
      </c>
      <c r="B30" s="6" t="s">
        <v>254</v>
      </c>
      <c r="C30" s="6" t="s">
        <v>15</v>
      </c>
      <c r="D30" s="6" t="s">
        <v>255</v>
      </c>
      <c r="E30" s="6" t="s">
        <v>256</v>
      </c>
      <c r="F30" s="6" t="s">
        <v>17</v>
      </c>
      <c r="G30" s="6" t="s">
        <v>18</v>
      </c>
      <c r="H30" s="5">
        <v>45554.822164351855</v>
      </c>
      <c r="I30" s="6" t="s">
        <v>50</v>
      </c>
      <c r="J30" s="5">
        <v>45770.630624999998</v>
      </c>
      <c r="L30" s="6" t="s">
        <v>66</v>
      </c>
      <c r="M30" s="5">
        <v>45770.630624999998</v>
      </c>
      <c r="N30" s="5" t="s">
        <v>15</v>
      </c>
      <c r="O30" s="45" t="str">
        <f>_xlfn.XLOOKUP(TAB.IDEIAS.TOTAL[[#This Row],[Enviado por]],'BASE DMOS'!A:A,'BASE DMOS'!C:C,"Não encontrado")</f>
        <v>OPERAÇÃO</v>
      </c>
    </row>
    <row r="31" spans="1:16" ht="58" x14ac:dyDescent="0.35">
      <c r="A31" s="6" t="s">
        <v>257</v>
      </c>
      <c r="B31" s="6" t="s">
        <v>258</v>
      </c>
      <c r="C31" s="6" t="s">
        <v>15</v>
      </c>
      <c r="D31" s="6" t="s">
        <v>259</v>
      </c>
      <c r="E31" s="6" t="s">
        <v>260</v>
      </c>
      <c r="F31" s="6" t="s">
        <v>17</v>
      </c>
      <c r="G31" s="6" t="s">
        <v>61</v>
      </c>
      <c r="H31" s="5">
        <v>45562.775057870371</v>
      </c>
      <c r="I31" s="6" t="s">
        <v>25</v>
      </c>
      <c r="J31" s="5">
        <v>45704.584270833337</v>
      </c>
      <c r="L31" s="6" t="s">
        <v>26</v>
      </c>
      <c r="M31" s="5">
        <v>45704.584270833337</v>
      </c>
      <c r="N31" s="5" t="s">
        <v>15</v>
      </c>
      <c r="O31" s="45" t="str">
        <f>_xlfn.XLOOKUP(TAB.IDEIAS.TOTAL[[#This Row],[Enviado por]],'BASE DMOS'!A:A,'BASE DMOS'!C:C,"Não encontrado")</f>
        <v>OPERAÇÃO</v>
      </c>
    </row>
    <row r="32" spans="1:16" ht="87" x14ac:dyDescent="0.35">
      <c r="A32" s="6" t="s">
        <v>261</v>
      </c>
      <c r="B32" s="6" t="s">
        <v>262</v>
      </c>
      <c r="C32" s="6" t="s">
        <v>134</v>
      </c>
      <c r="D32" s="6" t="s">
        <v>263</v>
      </c>
      <c r="E32" s="6" t="s">
        <v>16</v>
      </c>
      <c r="F32" s="6" t="s">
        <v>17</v>
      </c>
      <c r="G32" s="6" t="s">
        <v>30</v>
      </c>
      <c r="H32" s="5">
        <v>45566.525625000002</v>
      </c>
      <c r="I32" s="6" t="s">
        <v>264</v>
      </c>
      <c r="J32" s="5">
        <v>45861.306875000002</v>
      </c>
      <c r="K32" s="6" t="s">
        <v>123</v>
      </c>
      <c r="L32" s="6" t="s">
        <v>32</v>
      </c>
      <c r="M32" s="5">
        <v>45861.306875000002</v>
      </c>
      <c r="N32" s="5" t="s">
        <v>134</v>
      </c>
      <c r="O32" s="45" t="str">
        <f>_xlfn.XLOOKUP(TAB.IDEIAS.TOTAL[[#This Row],[Enviado por]],'BASE DMOS'!A:A,'BASE DMOS'!C:C,"Não encontrado")</f>
        <v>OPERAÇÃO</v>
      </c>
      <c r="P32" t="s">
        <v>248</v>
      </c>
    </row>
    <row r="33" spans="1:15" ht="72.5" x14ac:dyDescent="0.35">
      <c r="A33" s="6" t="s">
        <v>265</v>
      </c>
      <c r="B33" s="6" t="s">
        <v>266</v>
      </c>
      <c r="C33" s="6" t="s">
        <v>134</v>
      </c>
      <c r="D33" s="6" t="s">
        <v>267</v>
      </c>
      <c r="E33" s="6" t="s">
        <v>268</v>
      </c>
      <c r="F33" s="6" t="s">
        <v>17</v>
      </c>
      <c r="G33" s="6" t="s">
        <v>61</v>
      </c>
      <c r="H33" s="5">
        <v>45568.567731481482</v>
      </c>
      <c r="I33" s="6" t="s">
        <v>174</v>
      </c>
      <c r="J33" s="5">
        <v>45909.477905092594</v>
      </c>
      <c r="L33" s="6" t="s">
        <v>66</v>
      </c>
      <c r="M33" s="5">
        <v>45909.477905092594</v>
      </c>
      <c r="N33" s="5" t="s">
        <v>134</v>
      </c>
      <c r="O33" s="45" t="str">
        <f>_xlfn.XLOOKUP(TAB.IDEIAS.TOTAL[[#This Row],[Enviado por]],'BASE DMOS'!A:A,'BASE DMOS'!C:C,"Não encontrado")</f>
        <v>OPERAÇÃO</v>
      </c>
    </row>
    <row r="34" spans="1:15" ht="116" x14ac:dyDescent="0.35">
      <c r="A34" s="6" t="s">
        <v>269</v>
      </c>
      <c r="B34" s="6" t="s">
        <v>270</v>
      </c>
      <c r="C34" s="6" t="s">
        <v>15</v>
      </c>
      <c r="D34" s="6" t="s">
        <v>271</v>
      </c>
      <c r="E34" s="6" t="s">
        <v>109</v>
      </c>
      <c r="F34" s="6" t="s">
        <v>17</v>
      </c>
      <c r="G34" s="6" t="s">
        <v>61</v>
      </c>
      <c r="H34" s="5">
        <v>45573.61241898148</v>
      </c>
      <c r="I34" s="6" t="s">
        <v>272</v>
      </c>
      <c r="J34" s="5">
        <v>45797.36513888889</v>
      </c>
      <c r="L34" s="6" t="s">
        <v>273</v>
      </c>
      <c r="M34" s="5">
        <v>45797.36513888889</v>
      </c>
      <c r="N34" s="5" t="s">
        <v>15</v>
      </c>
      <c r="O34" s="45" t="str">
        <f>_xlfn.XLOOKUP(TAB.IDEIAS.TOTAL[[#This Row],[Enviado por]],'BASE DMOS'!A:A,'BASE DMOS'!C:C,"Não encontrado")</f>
        <v>ADM/TÉCNICO/ASSISTENTE/ESTAG.</v>
      </c>
    </row>
    <row r="35" spans="1:15" ht="29" x14ac:dyDescent="0.35">
      <c r="A35" s="6" t="s">
        <v>274</v>
      </c>
      <c r="B35" s="6" t="s">
        <v>275</v>
      </c>
      <c r="C35" s="6" t="s">
        <v>134</v>
      </c>
      <c r="D35" s="6" t="s">
        <v>276</v>
      </c>
      <c r="E35" s="6" t="s">
        <v>277</v>
      </c>
      <c r="F35" s="6" t="s">
        <v>17</v>
      </c>
      <c r="G35" s="6" t="s">
        <v>54</v>
      </c>
      <c r="H35" s="5">
        <v>45574.019479166665</v>
      </c>
      <c r="I35" s="6" t="s">
        <v>91</v>
      </c>
      <c r="J35" s="5">
        <v>45846.367615740739</v>
      </c>
      <c r="K35" s="6" t="s">
        <v>123</v>
      </c>
      <c r="L35" s="6" t="s">
        <v>32</v>
      </c>
      <c r="M35" s="5">
        <v>45846.367615740739</v>
      </c>
      <c r="N35" s="5" t="s">
        <v>134</v>
      </c>
      <c r="O35" s="45" t="str">
        <f>_xlfn.XLOOKUP(TAB.IDEIAS.TOTAL[[#This Row],[Enviado por]],'BASE DMOS'!A:A,'BASE DMOS'!C:C,"Não encontrado")</f>
        <v>OPERAÇÃO</v>
      </c>
    </row>
    <row r="36" spans="1:15" ht="188.5" x14ac:dyDescent="0.35">
      <c r="A36" s="6" t="s">
        <v>278</v>
      </c>
      <c r="B36" s="6" t="s">
        <v>279</v>
      </c>
      <c r="C36" s="6" t="s">
        <v>134</v>
      </c>
      <c r="D36" s="6" t="s">
        <v>280</v>
      </c>
      <c r="E36" s="6" t="s">
        <v>53</v>
      </c>
      <c r="F36" s="6" t="s">
        <v>17</v>
      </c>
      <c r="G36" s="6" t="s">
        <v>18</v>
      </c>
      <c r="H36" s="5">
        <v>45575.001261574071</v>
      </c>
      <c r="I36" s="6" t="s">
        <v>174</v>
      </c>
      <c r="J36" s="5">
        <v>45821.030219907407</v>
      </c>
      <c r="K36" s="6" t="s">
        <v>252</v>
      </c>
      <c r="L36" s="6" t="s">
        <v>66</v>
      </c>
      <c r="M36" s="5">
        <v>45821.030219907407</v>
      </c>
      <c r="N36" s="5" t="s">
        <v>134</v>
      </c>
      <c r="O36" s="45" t="str">
        <f>_xlfn.XLOOKUP(TAB.IDEIAS.TOTAL[[#This Row],[Enviado por]],'BASE DMOS'!A:A,'BASE DMOS'!C:C,"Não encontrado")</f>
        <v>OPERAÇÃO</v>
      </c>
    </row>
    <row r="37" spans="1:15" ht="29" x14ac:dyDescent="0.35">
      <c r="A37" s="6" t="s">
        <v>281</v>
      </c>
      <c r="B37" s="6" t="s">
        <v>282</v>
      </c>
      <c r="C37" s="6" t="s">
        <v>134</v>
      </c>
      <c r="D37" s="6" t="s">
        <v>283</v>
      </c>
      <c r="E37" s="6" t="s">
        <v>105</v>
      </c>
      <c r="F37" s="6" t="s">
        <v>17</v>
      </c>
      <c r="G37" s="6" t="s">
        <v>54</v>
      </c>
      <c r="H37" s="5">
        <v>45575.0547337963</v>
      </c>
      <c r="I37" s="6" t="s">
        <v>25</v>
      </c>
      <c r="J37" s="5">
        <v>45846.368263888886</v>
      </c>
      <c r="K37" s="6" t="s">
        <v>105</v>
      </c>
      <c r="L37" s="6" t="s">
        <v>26</v>
      </c>
      <c r="M37" s="5">
        <v>45846.368263888886</v>
      </c>
      <c r="N37" s="5" t="s">
        <v>134</v>
      </c>
      <c r="O37" s="45" t="str">
        <f>_xlfn.XLOOKUP(TAB.IDEIAS.TOTAL[[#This Row],[Enviado por]],'BASE DMOS'!A:A,'BASE DMOS'!C:C,"Não encontrado")</f>
        <v>ADM/TÉCNICO/ASSISTENTE/ESTAG.</v>
      </c>
    </row>
    <row r="38" spans="1:15" ht="29" x14ac:dyDescent="0.35">
      <c r="A38" s="6" t="s">
        <v>284</v>
      </c>
      <c r="B38" s="6" t="s">
        <v>285</v>
      </c>
      <c r="C38" s="6" t="s">
        <v>134</v>
      </c>
      <c r="D38" s="6" t="s">
        <v>286</v>
      </c>
      <c r="E38" s="6" t="s">
        <v>287</v>
      </c>
      <c r="F38" s="6" t="s">
        <v>17</v>
      </c>
      <c r="G38" s="6" t="s">
        <v>61</v>
      </c>
      <c r="H38" s="5">
        <v>45575.419583333336</v>
      </c>
      <c r="I38" s="6" t="s">
        <v>31</v>
      </c>
      <c r="J38" s="5">
        <v>45595.35732638889</v>
      </c>
      <c r="K38" s="6" t="s">
        <v>287</v>
      </c>
      <c r="L38" s="6" t="s">
        <v>32</v>
      </c>
      <c r="M38" s="5">
        <v>45595.35732638889</v>
      </c>
      <c r="N38" s="5" t="s">
        <v>134</v>
      </c>
      <c r="O38" s="45" t="str">
        <f>_xlfn.XLOOKUP(TAB.IDEIAS.TOTAL[[#This Row],[Enviado por]],'BASE DMOS'!A:A,'BASE DMOS'!C:C,"Não encontrado")</f>
        <v>OPERAÇÃO</v>
      </c>
    </row>
    <row r="39" spans="1:15" ht="87" x14ac:dyDescent="0.35">
      <c r="A39" s="6" t="s">
        <v>288</v>
      </c>
      <c r="B39" s="6" t="s">
        <v>289</v>
      </c>
      <c r="C39" s="6" t="s">
        <v>134</v>
      </c>
      <c r="D39" s="6" t="s">
        <v>290</v>
      </c>
      <c r="E39" s="6" t="s">
        <v>145</v>
      </c>
      <c r="F39" s="6" t="s">
        <v>17</v>
      </c>
      <c r="G39" s="6" t="s">
        <v>18</v>
      </c>
      <c r="H39" s="5">
        <v>45581.41851851852</v>
      </c>
      <c r="I39" s="6" t="s">
        <v>25</v>
      </c>
      <c r="J39" s="5">
        <v>45594.543634259258</v>
      </c>
      <c r="L39" s="6" t="s">
        <v>26</v>
      </c>
      <c r="M39" s="5">
        <v>45594.543634259258</v>
      </c>
      <c r="N39" s="5" t="s">
        <v>134</v>
      </c>
      <c r="O39" s="45" t="str">
        <f>_xlfn.XLOOKUP(TAB.IDEIAS.TOTAL[[#This Row],[Enviado por]],'BASE DMOS'!A:A,'BASE DMOS'!C:C,"Não encontrado")</f>
        <v>OPERAÇÃO</v>
      </c>
    </row>
    <row r="40" spans="1:15" ht="159.5" x14ac:dyDescent="0.35">
      <c r="A40" s="6" t="s">
        <v>291</v>
      </c>
      <c r="B40" s="6" t="s">
        <v>292</v>
      </c>
      <c r="C40" s="6" t="s">
        <v>184</v>
      </c>
      <c r="D40" s="6" t="s">
        <v>293</v>
      </c>
      <c r="F40" s="6" t="s">
        <v>17</v>
      </c>
      <c r="G40" s="6" t="s">
        <v>24</v>
      </c>
      <c r="H40" s="5">
        <v>45582.378923611112</v>
      </c>
      <c r="I40" s="6" t="s">
        <v>204</v>
      </c>
      <c r="J40" s="5">
        <v>46238.609814814816</v>
      </c>
      <c r="K40" s="6" t="s">
        <v>294</v>
      </c>
      <c r="L40" s="6" t="s">
        <v>66</v>
      </c>
      <c r="M40" s="5"/>
      <c r="N40" s="14" t="s">
        <v>295</v>
      </c>
      <c r="O40" s="45">
        <f>_xlfn.XLOOKUP(TAB.IDEIAS.TOTAL[[#This Row],[Enviado por]],'BASE DMOS'!A:A,'BASE DMOS'!C:C,"Não encontrado")</f>
        <v>0</v>
      </c>
    </row>
    <row r="41" spans="1:15" ht="87" x14ac:dyDescent="0.35">
      <c r="A41" s="6" t="s">
        <v>296</v>
      </c>
      <c r="B41" s="6" t="s">
        <v>297</v>
      </c>
      <c r="C41" s="6" t="s">
        <v>15</v>
      </c>
      <c r="D41" s="6" t="s">
        <v>298</v>
      </c>
      <c r="E41" s="6" t="s">
        <v>299</v>
      </c>
      <c r="F41" s="6" t="s">
        <v>17</v>
      </c>
      <c r="G41" s="6" t="s">
        <v>24</v>
      </c>
      <c r="H41" s="5">
        <v>45582.397037037037</v>
      </c>
      <c r="I41" s="6" t="s">
        <v>31</v>
      </c>
      <c r="J41" s="5">
        <v>45825.447118055556</v>
      </c>
      <c r="L41" s="6" t="s">
        <v>32</v>
      </c>
      <c r="M41" s="5">
        <v>45825.447118055556</v>
      </c>
      <c r="N41" s="5" t="s">
        <v>15</v>
      </c>
      <c r="O41" s="45" t="str">
        <f>_xlfn.XLOOKUP(TAB.IDEIAS.TOTAL[[#This Row],[Enviado por]],'BASE DMOS'!A:A,'BASE DMOS'!C:C,"Não encontrado")</f>
        <v>OPERAÇÃO</v>
      </c>
    </row>
    <row r="42" spans="1:15" ht="43.5" x14ac:dyDescent="0.35">
      <c r="A42" s="6" t="s">
        <v>300</v>
      </c>
      <c r="B42" s="6" t="s">
        <v>301</v>
      </c>
      <c r="C42" s="6" t="s">
        <v>184</v>
      </c>
      <c r="D42" s="6" t="s">
        <v>302</v>
      </c>
      <c r="E42" s="6" t="s">
        <v>299</v>
      </c>
      <c r="F42" s="6" t="s">
        <v>17</v>
      </c>
      <c r="G42" s="6" t="s">
        <v>18</v>
      </c>
      <c r="H42" s="5">
        <v>45582.399456018517</v>
      </c>
      <c r="I42" s="6" t="s">
        <v>303</v>
      </c>
      <c r="J42" s="5">
        <v>45750.42292824074</v>
      </c>
      <c r="K42" s="6" t="s">
        <v>90</v>
      </c>
      <c r="L42" s="6" t="s">
        <v>32</v>
      </c>
      <c r="M42" s="5"/>
      <c r="N42" s="14" t="s">
        <v>215</v>
      </c>
      <c r="O42" s="45" t="str">
        <f>_xlfn.XLOOKUP(TAB.IDEIAS.TOTAL[[#This Row],[Enviado por]],'BASE DMOS'!A:A,'BASE DMOS'!C:C,"Não encontrado")</f>
        <v>OPERAÇÃO</v>
      </c>
    </row>
    <row r="43" spans="1:15" ht="58" x14ac:dyDescent="0.35">
      <c r="A43" s="6" t="s">
        <v>304</v>
      </c>
      <c r="B43" s="6" t="s">
        <v>305</v>
      </c>
      <c r="C43" s="6" t="s">
        <v>15</v>
      </c>
      <c r="D43" s="6" t="s">
        <v>306</v>
      </c>
      <c r="E43" s="6" t="s">
        <v>299</v>
      </c>
      <c r="F43" s="6" t="s">
        <v>17</v>
      </c>
      <c r="G43" s="6" t="s">
        <v>54</v>
      </c>
      <c r="H43" s="5">
        <v>45582.436284722222</v>
      </c>
      <c r="I43" s="6" t="s">
        <v>43</v>
      </c>
      <c r="J43" s="5">
        <v>45820.976574074077</v>
      </c>
      <c r="L43" s="6" t="s">
        <v>32</v>
      </c>
      <c r="M43" s="5">
        <v>45820.976574074077</v>
      </c>
      <c r="N43" s="5" t="s">
        <v>15</v>
      </c>
      <c r="O43" s="45" t="str">
        <f>_xlfn.XLOOKUP(TAB.IDEIAS.TOTAL[[#This Row],[Enviado por]],'BASE DMOS'!A:A,'BASE DMOS'!C:C,"Não encontrado")</f>
        <v>OPERAÇÃO</v>
      </c>
    </row>
    <row r="44" spans="1:15" ht="58" x14ac:dyDescent="0.35">
      <c r="A44" s="6" t="s">
        <v>307</v>
      </c>
      <c r="B44" s="6" t="s">
        <v>308</v>
      </c>
      <c r="C44" s="6" t="s">
        <v>134</v>
      </c>
      <c r="D44" s="6" t="s">
        <v>309</v>
      </c>
      <c r="E44" s="6" t="s">
        <v>310</v>
      </c>
      <c r="F44" s="6" t="s">
        <v>17</v>
      </c>
      <c r="G44" s="6" t="s">
        <v>18</v>
      </c>
      <c r="H44" s="5">
        <v>45586.727997685186</v>
      </c>
      <c r="I44" s="6" t="s">
        <v>174</v>
      </c>
      <c r="J44" s="5">
        <v>45842.429166666669</v>
      </c>
      <c r="L44" s="6" t="s">
        <v>66</v>
      </c>
      <c r="M44" s="5">
        <v>45842.429166666669</v>
      </c>
      <c r="N44" s="5" t="s">
        <v>134</v>
      </c>
      <c r="O44" s="45" t="str">
        <f>_xlfn.XLOOKUP(TAB.IDEIAS.TOTAL[[#This Row],[Enviado por]],'BASE DMOS'!A:A,'BASE DMOS'!C:C,"Não encontrado")</f>
        <v>OPERAÇÃO</v>
      </c>
    </row>
    <row r="45" spans="1:15" ht="43.5" x14ac:dyDescent="0.35">
      <c r="A45" s="6" t="s">
        <v>311</v>
      </c>
      <c r="B45" s="6" t="s">
        <v>312</v>
      </c>
      <c r="C45" s="6" t="s">
        <v>134</v>
      </c>
      <c r="D45" s="6" t="s">
        <v>313</v>
      </c>
      <c r="E45" s="6" t="s">
        <v>287</v>
      </c>
      <c r="F45" s="6" t="s">
        <v>17</v>
      </c>
      <c r="G45" s="6" t="s">
        <v>61</v>
      </c>
      <c r="H45" s="5">
        <v>45587.49019675926</v>
      </c>
      <c r="I45" s="6" t="s">
        <v>162</v>
      </c>
      <c r="J45" s="5">
        <v>45594.552662037036</v>
      </c>
      <c r="L45" s="6" t="s">
        <v>163</v>
      </c>
      <c r="M45" s="5">
        <v>45594.552662037036</v>
      </c>
      <c r="N45" s="5" t="s">
        <v>134</v>
      </c>
      <c r="O45" s="45" t="str">
        <f>_xlfn.XLOOKUP(TAB.IDEIAS.TOTAL[[#This Row],[Enviado por]],'BASE DMOS'!A:A,'BASE DMOS'!C:C,"Não encontrado")</f>
        <v>OPERAÇÃO</v>
      </c>
    </row>
    <row r="46" spans="1:15" ht="130.5" x14ac:dyDescent="0.35">
      <c r="A46" s="6" t="s">
        <v>314</v>
      </c>
      <c r="B46" s="6" t="s">
        <v>315</v>
      </c>
      <c r="C46" s="6" t="s">
        <v>134</v>
      </c>
      <c r="D46" s="6" t="s">
        <v>316</v>
      </c>
      <c r="E46" s="6" t="s">
        <v>287</v>
      </c>
      <c r="F46" s="6" t="s">
        <v>17</v>
      </c>
      <c r="G46" s="6" t="s">
        <v>61</v>
      </c>
      <c r="H46" s="5">
        <v>45587.50240740741</v>
      </c>
      <c r="I46" s="6" t="s">
        <v>98</v>
      </c>
      <c r="J46" s="5">
        <v>45846.447048611109</v>
      </c>
      <c r="K46" s="6" t="s">
        <v>108</v>
      </c>
      <c r="L46" s="6" t="s">
        <v>273</v>
      </c>
      <c r="M46" s="5">
        <v>45846.447048611109</v>
      </c>
      <c r="N46" s="5" t="s">
        <v>134</v>
      </c>
      <c r="O46" s="45" t="str">
        <f>_xlfn.XLOOKUP(TAB.IDEIAS.TOTAL[[#This Row],[Enviado por]],'BASE DMOS'!A:A,'BASE DMOS'!C:C,"Não encontrado")</f>
        <v>OPERAÇÃO</v>
      </c>
    </row>
    <row r="47" spans="1:15" ht="58" x14ac:dyDescent="0.35">
      <c r="A47" s="6" t="s">
        <v>317</v>
      </c>
      <c r="B47" s="6" t="s">
        <v>318</v>
      </c>
      <c r="C47" s="6" t="s">
        <v>15</v>
      </c>
      <c r="D47" s="6" t="s">
        <v>319</v>
      </c>
      <c r="E47" s="6" t="s">
        <v>277</v>
      </c>
      <c r="F47" s="6" t="s">
        <v>17</v>
      </c>
      <c r="G47" s="6" t="s">
        <v>30</v>
      </c>
      <c r="H47" s="5">
        <v>45587.612245370372</v>
      </c>
      <c r="I47" s="6" t="s">
        <v>320</v>
      </c>
      <c r="J47" s="5">
        <v>45817.609351851854</v>
      </c>
      <c r="L47" s="6" t="s">
        <v>32</v>
      </c>
      <c r="M47" s="5">
        <v>45817.609351851854</v>
      </c>
      <c r="N47" s="5" t="s">
        <v>15</v>
      </c>
      <c r="O47" s="45" t="str">
        <f>_xlfn.XLOOKUP(TAB.IDEIAS.TOTAL[[#This Row],[Enviado por]],'BASE DMOS'!A:A,'BASE DMOS'!C:C,"Não encontrado")</f>
        <v>OPERAÇÃO</v>
      </c>
    </row>
    <row r="48" spans="1:15" ht="130.5" x14ac:dyDescent="0.35">
      <c r="A48" s="6" t="s">
        <v>321</v>
      </c>
      <c r="B48" s="6" t="s">
        <v>322</v>
      </c>
      <c r="C48" s="6" t="s">
        <v>148</v>
      </c>
      <c r="D48" s="6" t="s">
        <v>323</v>
      </c>
      <c r="F48" s="6" t="s">
        <v>17</v>
      </c>
      <c r="G48" s="6" t="s">
        <v>18</v>
      </c>
      <c r="H48" s="5">
        <v>45589.282638888886</v>
      </c>
      <c r="I48" s="6" t="s">
        <v>204</v>
      </c>
      <c r="J48" s="5">
        <v>46283.474363425928</v>
      </c>
      <c r="K48" s="6" t="s">
        <v>294</v>
      </c>
      <c r="L48" s="6" t="s">
        <v>66</v>
      </c>
      <c r="M48" s="5"/>
      <c r="N48" s="43" t="s">
        <v>148</v>
      </c>
      <c r="O48" s="45">
        <f>_xlfn.XLOOKUP(TAB.IDEIAS.TOTAL[[#This Row],[Enviado por]],'BASE DMOS'!A:A,'BASE DMOS'!C:C,"Não encontrado")</f>
        <v>0</v>
      </c>
    </row>
    <row r="49" spans="1:16" ht="43.5" x14ac:dyDescent="0.35">
      <c r="A49" s="6" t="s">
        <v>324</v>
      </c>
      <c r="B49" s="6" t="s">
        <v>325</v>
      </c>
      <c r="C49" s="6" t="s">
        <v>15</v>
      </c>
      <c r="D49" s="6" t="s">
        <v>326</v>
      </c>
      <c r="E49" s="6" t="s">
        <v>57</v>
      </c>
      <c r="F49" s="6" t="s">
        <v>17</v>
      </c>
      <c r="G49" s="6" t="s">
        <v>24</v>
      </c>
      <c r="H49" s="5">
        <v>45590.328912037039</v>
      </c>
      <c r="I49" s="6" t="s">
        <v>327</v>
      </c>
      <c r="J49" s="5">
        <v>45817.612673611111</v>
      </c>
      <c r="L49" s="6" t="s">
        <v>273</v>
      </c>
      <c r="M49" s="5">
        <v>45817.612673611111</v>
      </c>
      <c r="N49" s="5" t="s">
        <v>15</v>
      </c>
      <c r="O49" s="45" t="str">
        <f>_xlfn.XLOOKUP(TAB.IDEIAS.TOTAL[[#This Row],[Enviado por]],'BASE DMOS'!A:A,'BASE DMOS'!C:C,"Não encontrado")</f>
        <v>OPERAÇÃO</v>
      </c>
    </row>
    <row r="50" spans="1:16" ht="116" x14ac:dyDescent="0.35">
      <c r="A50" s="6" t="s">
        <v>125</v>
      </c>
      <c r="B50" s="6" t="s">
        <v>126</v>
      </c>
      <c r="C50" s="6" t="s">
        <v>184</v>
      </c>
      <c r="D50" s="6" t="s">
        <v>328</v>
      </c>
      <c r="E50" s="6" t="s">
        <v>127</v>
      </c>
      <c r="F50" s="6" t="s">
        <v>17</v>
      </c>
      <c r="G50" s="6" t="s">
        <v>30</v>
      </c>
      <c r="H50" s="5">
        <v>45594.157083333332</v>
      </c>
      <c r="I50" s="6" t="s">
        <v>25</v>
      </c>
      <c r="J50" s="5">
        <v>45859.447141203702</v>
      </c>
      <c r="K50" s="6" t="s">
        <v>123</v>
      </c>
      <c r="L50" s="6" t="s">
        <v>26</v>
      </c>
      <c r="M50" s="5"/>
      <c r="N50" s="14" t="s">
        <v>15</v>
      </c>
      <c r="O50" s="45" t="str">
        <f>_xlfn.XLOOKUP(TAB.IDEIAS.TOTAL[[#This Row],[Enviado por]],'BASE DMOS'!A:A,'BASE DMOS'!C:C,"Não encontrado")</f>
        <v>ADM/TÉCNICO/ASSISTENTE/ESTAG.</v>
      </c>
      <c r="P50" t="s">
        <v>248</v>
      </c>
    </row>
    <row r="51" spans="1:16" ht="275.5" x14ac:dyDescent="0.35">
      <c r="A51" s="6" t="s">
        <v>329</v>
      </c>
      <c r="B51" s="6" t="s">
        <v>330</v>
      </c>
      <c r="C51" s="6" t="s">
        <v>148</v>
      </c>
      <c r="D51" s="6" t="s">
        <v>331</v>
      </c>
      <c r="E51" s="6" t="s">
        <v>299</v>
      </c>
      <c r="F51" s="6" t="s">
        <v>17</v>
      </c>
      <c r="G51" s="6" t="s">
        <v>24</v>
      </c>
      <c r="H51" s="5">
        <v>45595.420578703706</v>
      </c>
      <c r="I51" s="6" t="s">
        <v>332</v>
      </c>
      <c r="J51" s="5">
        <v>45989.466874999998</v>
      </c>
      <c r="L51" s="6" t="s">
        <v>66</v>
      </c>
      <c r="M51" s="5"/>
      <c r="N51" s="5" t="s">
        <v>148</v>
      </c>
      <c r="O51" s="45" t="str">
        <f>_xlfn.XLOOKUP(TAB.IDEIAS.TOTAL[[#This Row],[Enviado por]],'BASE DMOS'!A:A,'BASE DMOS'!C:C,"Não encontrado")</f>
        <v>OPERAÇÃO</v>
      </c>
    </row>
    <row r="52" spans="1:16" ht="29" x14ac:dyDescent="0.35">
      <c r="A52" s="6" t="s">
        <v>333</v>
      </c>
      <c r="B52" s="6" t="s">
        <v>334</v>
      </c>
      <c r="C52" s="6" t="s">
        <v>134</v>
      </c>
      <c r="D52" s="6" t="s">
        <v>335</v>
      </c>
      <c r="E52" s="6" t="s">
        <v>336</v>
      </c>
      <c r="F52" s="6" t="s">
        <v>17</v>
      </c>
      <c r="G52" s="6" t="s">
        <v>61</v>
      </c>
      <c r="H52" s="5">
        <v>45595.637962962966</v>
      </c>
      <c r="I52" s="6" t="s">
        <v>227</v>
      </c>
      <c r="J52" s="5">
        <v>45835.452604166669</v>
      </c>
      <c r="K52" s="6" t="s">
        <v>337</v>
      </c>
      <c r="L52" s="6" t="s">
        <v>228</v>
      </c>
      <c r="M52" s="5">
        <v>45835.452604166669</v>
      </c>
      <c r="N52" s="5" t="s">
        <v>134</v>
      </c>
      <c r="O52" s="45" t="str">
        <f>_xlfn.XLOOKUP(TAB.IDEIAS.TOTAL[[#This Row],[Enviado por]],'BASE DMOS'!A:A,'BASE DMOS'!C:C,"Não encontrado")</f>
        <v>OPERAÇÃO</v>
      </c>
    </row>
    <row r="53" spans="1:16" ht="29" x14ac:dyDescent="0.35">
      <c r="A53" s="6" t="s">
        <v>338</v>
      </c>
      <c r="B53" s="6" t="s">
        <v>339</v>
      </c>
      <c r="C53" s="6" t="s">
        <v>148</v>
      </c>
      <c r="D53" s="6" t="s">
        <v>340</v>
      </c>
      <c r="E53" s="6" t="s">
        <v>53</v>
      </c>
      <c r="F53" s="6" t="s">
        <v>17</v>
      </c>
      <c r="G53" s="6" t="s">
        <v>30</v>
      </c>
      <c r="H53" s="5">
        <v>45596.070289351854</v>
      </c>
      <c r="I53" s="6" t="s">
        <v>332</v>
      </c>
      <c r="J53" s="5">
        <v>46226.49931712963</v>
      </c>
      <c r="K53" s="6" t="s">
        <v>82</v>
      </c>
      <c r="L53" s="6" t="s">
        <v>66</v>
      </c>
      <c r="M53" s="5"/>
      <c r="N53" s="5" t="s">
        <v>148</v>
      </c>
      <c r="O53" s="45" t="str">
        <f>_xlfn.XLOOKUP(TAB.IDEIAS.TOTAL[[#This Row],[Enviado por]],'BASE DMOS'!A:A,'BASE DMOS'!C:C,"Não encontrado")</f>
        <v>OPERAÇÃO</v>
      </c>
    </row>
    <row r="54" spans="1:16" ht="29" x14ac:dyDescent="0.35">
      <c r="A54" s="6" t="s">
        <v>128</v>
      </c>
      <c r="B54" s="6" t="s">
        <v>129</v>
      </c>
      <c r="C54" s="6" t="s">
        <v>148</v>
      </c>
      <c r="D54" s="6" t="s">
        <v>341</v>
      </c>
      <c r="E54" s="6" t="s">
        <v>16</v>
      </c>
      <c r="F54" s="6" t="s">
        <v>17</v>
      </c>
      <c r="G54" s="6" t="s">
        <v>54</v>
      </c>
      <c r="H54" s="5">
        <v>45596.581875000003</v>
      </c>
      <c r="I54" s="6" t="s">
        <v>91</v>
      </c>
      <c r="J54" s="5">
        <v>46282.432800925926</v>
      </c>
      <c r="K54" s="6" t="s">
        <v>294</v>
      </c>
      <c r="L54" s="6" t="s">
        <v>66</v>
      </c>
      <c r="M54" s="5"/>
      <c r="N54" s="14" t="s">
        <v>15</v>
      </c>
      <c r="O54" s="45" t="str">
        <f>_xlfn.XLOOKUP(TAB.IDEIAS.TOTAL[[#This Row],[Enviado por]],'BASE DMOS'!A:A,'BASE DMOS'!C:C,"Não encontrado")</f>
        <v>OPERAÇÃO</v>
      </c>
      <c r="P54" t="s">
        <v>248</v>
      </c>
    </row>
    <row r="55" spans="1:16" ht="29" x14ac:dyDescent="0.35">
      <c r="A55" s="6" t="s">
        <v>342</v>
      </c>
      <c r="B55" s="6" t="s">
        <v>343</v>
      </c>
      <c r="C55" s="6" t="s">
        <v>134</v>
      </c>
      <c r="D55" s="6" t="s">
        <v>344</v>
      </c>
      <c r="E55" s="6" t="s">
        <v>16</v>
      </c>
      <c r="F55" s="6" t="s">
        <v>17</v>
      </c>
      <c r="G55" s="6" t="s">
        <v>124</v>
      </c>
      <c r="H55" s="5">
        <v>45596.582997685182</v>
      </c>
      <c r="I55" s="6" t="s">
        <v>91</v>
      </c>
      <c r="J55" s="5">
        <v>45966.371145833335</v>
      </c>
      <c r="K55" s="6" t="s">
        <v>105</v>
      </c>
      <c r="L55" s="6" t="s">
        <v>32</v>
      </c>
      <c r="M55" s="5">
        <v>45966.371145833335</v>
      </c>
      <c r="N55" s="5" t="s">
        <v>134</v>
      </c>
      <c r="O55" s="45" t="str">
        <f>_xlfn.XLOOKUP(TAB.IDEIAS.TOTAL[[#This Row],[Enviado por]],'BASE DMOS'!A:A,'BASE DMOS'!C:C,"Não encontrado")</f>
        <v>OPERAÇÃO</v>
      </c>
    </row>
    <row r="56" spans="1:16" ht="130.5" x14ac:dyDescent="0.35">
      <c r="A56" s="6" t="s">
        <v>345</v>
      </c>
      <c r="B56" s="6" t="s">
        <v>346</v>
      </c>
      <c r="C56" s="6" t="s">
        <v>134</v>
      </c>
      <c r="D56" s="6" t="s">
        <v>347</v>
      </c>
      <c r="E56" s="6" t="s">
        <v>81</v>
      </c>
      <c r="F56" s="6" t="s">
        <v>17</v>
      </c>
      <c r="G56" s="6" t="s">
        <v>61</v>
      </c>
      <c r="H56" s="5">
        <v>45596.79478009259</v>
      </c>
      <c r="I56" s="6" t="s">
        <v>31</v>
      </c>
      <c r="J56" s="5">
        <v>46029.573310185187</v>
      </c>
      <c r="K56" s="6" t="s">
        <v>348</v>
      </c>
      <c r="L56" s="6" t="s">
        <v>32</v>
      </c>
      <c r="M56" s="5">
        <v>46029.573310185187</v>
      </c>
      <c r="N56" s="5" t="s">
        <v>134</v>
      </c>
      <c r="O56" s="45" t="str">
        <f>_xlfn.XLOOKUP(TAB.IDEIAS.TOTAL[[#This Row],[Enviado por]],'BASE DMOS'!A:A,'BASE DMOS'!C:C,"Não encontrado")</f>
        <v>OPERAÇÃO</v>
      </c>
    </row>
    <row r="57" spans="1:16" ht="58" x14ac:dyDescent="0.35">
      <c r="A57" s="6" t="s">
        <v>349</v>
      </c>
      <c r="B57" s="6" t="s">
        <v>350</v>
      </c>
      <c r="C57" s="6" t="s">
        <v>134</v>
      </c>
      <c r="D57" s="6" t="s">
        <v>351</v>
      </c>
      <c r="E57" s="6" t="s">
        <v>102</v>
      </c>
      <c r="F57" s="6" t="s">
        <v>17</v>
      </c>
      <c r="G57" s="6" t="s">
        <v>24</v>
      </c>
      <c r="H57" s="5">
        <v>45596.889756944445</v>
      </c>
      <c r="I57" s="6" t="s">
        <v>91</v>
      </c>
      <c r="J57" s="5">
        <v>45819.61509259259</v>
      </c>
      <c r="K57" s="6" t="s">
        <v>348</v>
      </c>
      <c r="L57" s="6" t="s">
        <v>32</v>
      </c>
      <c r="M57" s="5">
        <v>45819.61509259259</v>
      </c>
      <c r="N57" s="5" t="s">
        <v>134</v>
      </c>
      <c r="O57" s="45" t="str">
        <f>_xlfn.XLOOKUP(TAB.IDEIAS.TOTAL[[#This Row],[Enviado por]],'BASE DMOS'!A:A,'BASE DMOS'!C:C,"Não encontrado")</f>
        <v>OPERAÇÃO</v>
      </c>
    </row>
    <row r="58" spans="1:16" ht="145" x14ac:dyDescent="0.35">
      <c r="A58" s="6" t="s">
        <v>352</v>
      </c>
      <c r="B58" s="6" t="s">
        <v>353</v>
      </c>
      <c r="C58" s="6" t="s">
        <v>148</v>
      </c>
      <c r="D58" s="6" t="s">
        <v>354</v>
      </c>
      <c r="E58" s="6" t="s">
        <v>193</v>
      </c>
      <c r="F58" s="6" t="s">
        <v>17</v>
      </c>
      <c r="G58" s="6" t="s">
        <v>24</v>
      </c>
      <c r="H58" s="5">
        <v>45597.976319444446</v>
      </c>
      <c r="I58" s="6" t="s">
        <v>91</v>
      </c>
      <c r="J58" s="5">
        <v>46106.479050925926</v>
      </c>
      <c r="K58" s="6" t="s">
        <v>355</v>
      </c>
      <c r="L58" s="6" t="s">
        <v>32</v>
      </c>
      <c r="M58" s="5"/>
      <c r="N58" s="5" t="s">
        <v>148</v>
      </c>
      <c r="O58" s="45" t="str">
        <f>_xlfn.XLOOKUP(TAB.IDEIAS.TOTAL[[#This Row],[Enviado por]],'BASE DMOS'!A:A,'BASE DMOS'!C:C,"Não encontrado")</f>
        <v>OPERAÇÃO</v>
      </c>
      <c r="P58" t="s">
        <v>248</v>
      </c>
    </row>
    <row r="59" spans="1:16" ht="43.5" x14ac:dyDescent="0.35">
      <c r="A59" s="6" t="s">
        <v>356</v>
      </c>
      <c r="B59" s="6" t="s">
        <v>357</v>
      </c>
      <c r="C59" s="6" t="s">
        <v>184</v>
      </c>
      <c r="D59" s="6" t="s">
        <v>358</v>
      </c>
      <c r="E59" s="6" t="s">
        <v>85</v>
      </c>
      <c r="F59" s="6" t="s">
        <v>17</v>
      </c>
      <c r="G59" s="6" t="s">
        <v>54</v>
      </c>
      <c r="H59" s="5">
        <v>45599.281145833331</v>
      </c>
      <c r="I59" s="6" t="s">
        <v>25</v>
      </c>
      <c r="J59" s="5">
        <v>45602.571469907409</v>
      </c>
      <c r="K59" s="6" t="s">
        <v>69</v>
      </c>
      <c r="L59" s="6" t="s">
        <v>26</v>
      </c>
      <c r="M59" s="5"/>
      <c r="N59" s="43" t="s">
        <v>186</v>
      </c>
      <c r="O59" s="45" t="str">
        <f>_xlfn.XLOOKUP(TAB.IDEIAS.TOTAL[[#This Row],[Enviado por]],'BASE DMOS'!A:A,'BASE DMOS'!C:C,"Não encontrado")</f>
        <v>ADM/TÉCNICO/ASSISTENTE/ESTAG.</v>
      </c>
    </row>
    <row r="60" spans="1:16" ht="29" x14ac:dyDescent="0.35">
      <c r="A60" s="6" t="s">
        <v>359</v>
      </c>
      <c r="B60" s="6" t="s">
        <v>360</v>
      </c>
      <c r="C60" s="6" t="s">
        <v>134</v>
      </c>
      <c r="D60" s="6" t="s">
        <v>361</v>
      </c>
      <c r="E60" s="6" t="s">
        <v>277</v>
      </c>
      <c r="F60" s="6" t="s">
        <v>17</v>
      </c>
      <c r="G60" s="6" t="s">
        <v>61</v>
      </c>
      <c r="H60" s="5">
        <v>45600.349537037036</v>
      </c>
      <c r="I60" s="6" t="s">
        <v>91</v>
      </c>
      <c r="J60" s="5">
        <v>45846.36791666667</v>
      </c>
      <c r="K60" s="6" t="s">
        <v>123</v>
      </c>
      <c r="L60" s="6" t="s">
        <v>32</v>
      </c>
      <c r="M60" s="5">
        <v>45846.36791666667</v>
      </c>
      <c r="N60" s="5" t="s">
        <v>134</v>
      </c>
      <c r="O60" s="45" t="str">
        <f>_xlfn.XLOOKUP(TAB.IDEIAS.TOTAL[[#This Row],[Enviado por]],'BASE DMOS'!A:A,'BASE DMOS'!C:C,"Não encontrado")</f>
        <v>OPERAÇÃO</v>
      </c>
    </row>
    <row r="61" spans="1:16" ht="43.5" x14ac:dyDescent="0.35">
      <c r="A61" s="6" t="s">
        <v>362</v>
      </c>
      <c r="B61" s="6" t="s">
        <v>363</v>
      </c>
      <c r="C61" s="6" t="s">
        <v>148</v>
      </c>
      <c r="D61" s="6" t="s">
        <v>364</v>
      </c>
      <c r="E61" s="6" t="s">
        <v>247</v>
      </c>
      <c r="F61" s="6" t="s">
        <v>17</v>
      </c>
      <c r="G61" s="6" t="s">
        <v>18</v>
      </c>
      <c r="H61" s="5">
        <v>45601.826180555552</v>
      </c>
      <c r="I61" s="6" t="s">
        <v>25</v>
      </c>
      <c r="J61" s="5">
        <v>46265.42832175926</v>
      </c>
      <c r="K61" s="6" t="s">
        <v>247</v>
      </c>
      <c r="L61" s="6" t="s">
        <v>66</v>
      </c>
      <c r="M61" s="5"/>
      <c r="N61" s="5" t="s">
        <v>148</v>
      </c>
      <c r="O61" s="45" t="str">
        <f>_xlfn.XLOOKUP(TAB.IDEIAS.TOTAL[[#This Row],[Enviado por]],'BASE DMOS'!A:A,'BASE DMOS'!C:C,"Não encontrado")</f>
        <v>ADM/TÉCNICO/ASSISTENTE/ESTAG.</v>
      </c>
      <c r="P61" t="s">
        <v>248</v>
      </c>
    </row>
    <row r="62" spans="1:16" ht="43.5" x14ac:dyDescent="0.35">
      <c r="A62" s="6" t="s">
        <v>365</v>
      </c>
      <c r="B62" s="6" t="s">
        <v>366</v>
      </c>
      <c r="C62" s="6" t="s">
        <v>134</v>
      </c>
      <c r="D62" s="6" t="s">
        <v>367</v>
      </c>
      <c r="E62" s="6" t="s">
        <v>58</v>
      </c>
      <c r="F62" s="6" t="s">
        <v>17</v>
      </c>
      <c r="G62" s="6" t="s">
        <v>54</v>
      </c>
      <c r="H62" s="5">
        <v>45602.577847222223</v>
      </c>
      <c r="I62" s="6" t="s">
        <v>19</v>
      </c>
      <c r="J62" s="5">
        <v>45842.426423611112</v>
      </c>
      <c r="K62" s="6" t="s">
        <v>69</v>
      </c>
      <c r="L62" s="6" t="s">
        <v>20</v>
      </c>
      <c r="M62" s="5">
        <v>45842.426423611112</v>
      </c>
      <c r="N62" s="5" t="s">
        <v>134</v>
      </c>
      <c r="O62" s="45" t="str">
        <f>_xlfn.XLOOKUP(TAB.IDEIAS.TOTAL[[#This Row],[Enviado por]],'BASE DMOS'!A:A,'BASE DMOS'!C:C,"Não encontrado")</f>
        <v>ADM/TÉCNICO/ASSISTENTE/ESTAG.</v>
      </c>
    </row>
    <row r="63" spans="1:16" ht="116" x14ac:dyDescent="0.35">
      <c r="A63" s="6" t="s">
        <v>368</v>
      </c>
      <c r="B63" s="6" t="s">
        <v>369</v>
      </c>
      <c r="C63" s="6" t="s">
        <v>15</v>
      </c>
      <c r="D63" s="6" t="s">
        <v>370</v>
      </c>
      <c r="E63" s="6" t="s">
        <v>247</v>
      </c>
      <c r="F63" s="6" t="s">
        <v>17</v>
      </c>
      <c r="G63" s="6" t="s">
        <v>24</v>
      </c>
      <c r="H63" s="5">
        <v>45602.831921296296</v>
      </c>
      <c r="I63" s="6" t="s">
        <v>242</v>
      </c>
      <c r="J63" s="5">
        <v>45797.472337962965</v>
      </c>
      <c r="L63" s="6" t="s">
        <v>32</v>
      </c>
      <c r="M63" s="5">
        <v>45797.472337962965</v>
      </c>
      <c r="N63" s="5" t="s">
        <v>15</v>
      </c>
      <c r="O63" s="45" t="str">
        <f>_xlfn.XLOOKUP(TAB.IDEIAS.TOTAL[[#This Row],[Enviado por]],'BASE DMOS'!A:A,'BASE DMOS'!C:C,"Não encontrado")</f>
        <v>ADM/TÉCNICO/ASSISTENTE/ESTAG.</v>
      </c>
      <c r="P63" t="s">
        <v>248</v>
      </c>
    </row>
    <row r="64" spans="1:16" ht="72.5" x14ac:dyDescent="0.35">
      <c r="A64" s="6" t="s">
        <v>371</v>
      </c>
      <c r="B64" s="6" t="s">
        <v>372</v>
      </c>
      <c r="C64" s="6" t="s">
        <v>184</v>
      </c>
      <c r="D64" s="6" t="s">
        <v>373</v>
      </c>
      <c r="E64" s="6" t="s">
        <v>226</v>
      </c>
      <c r="F64" s="6" t="s">
        <v>17</v>
      </c>
      <c r="G64" s="6" t="s">
        <v>61</v>
      </c>
      <c r="H64" s="5">
        <v>45603.143136574072</v>
      </c>
      <c r="I64" s="6" t="s">
        <v>204</v>
      </c>
      <c r="J64" s="5">
        <v>46238.612500000003</v>
      </c>
      <c r="K64" s="6" t="s">
        <v>294</v>
      </c>
      <c r="L64" s="6" t="s">
        <v>66</v>
      </c>
      <c r="M64" s="5"/>
      <c r="N64" s="43" t="s">
        <v>374</v>
      </c>
      <c r="O64" s="45" t="str">
        <f>_xlfn.XLOOKUP(TAB.IDEIAS.TOTAL[[#This Row],[Enviado por]],'BASE DMOS'!A:A,'BASE DMOS'!C:C,"Não encontrado")</f>
        <v>OPERAÇÃO</v>
      </c>
    </row>
    <row r="65" spans="1:15" ht="58" x14ac:dyDescent="0.35">
      <c r="A65" s="6" t="s">
        <v>375</v>
      </c>
      <c r="B65" s="6" t="s">
        <v>376</v>
      </c>
      <c r="C65" s="6" t="s">
        <v>134</v>
      </c>
      <c r="D65" s="6" t="s">
        <v>377</v>
      </c>
      <c r="E65" s="6" t="s">
        <v>226</v>
      </c>
      <c r="F65" s="6" t="s">
        <v>17</v>
      </c>
      <c r="G65" s="6" t="s">
        <v>24</v>
      </c>
      <c r="H65" s="5">
        <v>45603.150937500002</v>
      </c>
      <c r="I65" s="6" t="s">
        <v>204</v>
      </c>
      <c r="J65" s="5">
        <v>45846.364756944444</v>
      </c>
      <c r="K65" s="6" t="s">
        <v>205</v>
      </c>
      <c r="L65" s="6" t="s">
        <v>163</v>
      </c>
      <c r="M65" s="5">
        <v>45846.364756944444</v>
      </c>
      <c r="N65" s="5" t="s">
        <v>134</v>
      </c>
      <c r="O65" s="45" t="str">
        <f>_xlfn.XLOOKUP(TAB.IDEIAS.TOTAL[[#This Row],[Enviado por]],'BASE DMOS'!A:A,'BASE DMOS'!C:C,"Não encontrado")</f>
        <v>OPERAÇÃO</v>
      </c>
    </row>
    <row r="66" spans="1:15" ht="406" x14ac:dyDescent="0.35">
      <c r="A66" s="6" t="s">
        <v>378</v>
      </c>
      <c r="B66" s="6" t="s">
        <v>379</v>
      </c>
      <c r="C66" s="6" t="s">
        <v>134</v>
      </c>
      <c r="D66" s="6" t="s">
        <v>380</v>
      </c>
      <c r="E66" s="6" t="s">
        <v>381</v>
      </c>
      <c r="F66" s="6" t="s">
        <v>17</v>
      </c>
      <c r="G66" s="6" t="s">
        <v>18</v>
      </c>
      <c r="H66" s="5">
        <v>45604.110752314817</v>
      </c>
      <c r="I66" s="6" t="s">
        <v>19</v>
      </c>
      <c r="J66" s="5">
        <v>45846.367129629631</v>
      </c>
      <c r="K66" s="6" t="s">
        <v>58</v>
      </c>
      <c r="L66" s="6" t="s">
        <v>20</v>
      </c>
      <c r="M66" s="5">
        <v>45846.367129629631</v>
      </c>
      <c r="N66" s="5" t="s">
        <v>134</v>
      </c>
      <c r="O66" s="45" t="str">
        <f>_xlfn.XLOOKUP(TAB.IDEIAS.TOTAL[[#This Row],[Enviado por]],'BASE DMOS'!A:A,'BASE DMOS'!C:C,"Não encontrado")</f>
        <v>OPERAÇÃO</v>
      </c>
    </row>
    <row r="67" spans="1:15" ht="43.5" x14ac:dyDescent="0.35">
      <c r="A67" s="6" t="s">
        <v>382</v>
      </c>
      <c r="B67" s="6" t="s">
        <v>383</v>
      </c>
      <c r="C67" s="6" t="s">
        <v>15</v>
      </c>
      <c r="D67" s="6" t="s">
        <v>384</v>
      </c>
      <c r="E67" s="6" t="s">
        <v>212</v>
      </c>
      <c r="F67" s="6" t="s">
        <v>17</v>
      </c>
      <c r="G67" s="6" t="s">
        <v>61</v>
      </c>
      <c r="H67" s="5">
        <v>45604.411238425928</v>
      </c>
      <c r="I67" s="6" t="s">
        <v>19</v>
      </c>
      <c r="J67" s="5">
        <v>45604.414537037039</v>
      </c>
      <c r="L67" s="6" t="s">
        <v>20</v>
      </c>
      <c r="M67" s="5">
        <v>45604.414537037039</v>
      </c>
      <c r="N67" s="5" t="s">
        <v>15</v>
      </c>
      <c r="O67" s="45" t="str">
        <f>_xlfn.XLOOKUP(TAB.IDEIAS.TOTAL[[#This Row],[Enviado por]],'BASE DMOS'!A:A,'BASE DMOS'!C:C,"Não encontrado")</f>
        <v>OPERAÇÃO</v>
      </c>
    </row>
    <row r="68" spans="1:15" ht="29" x14ac:dyDescent="0.35">
      <c r="A68" s="6" t="s">
        <v>385</v>
      </c>
      <c r="B68" s="6" t="s">
        <v>386</v>
      </c>
      <c r="C68" s="6" t="s">
        <v>134</v>
      </c>
      <c r="D68" s="6" t="s">
        <v>387</v>
      </c>
      <c r="E68" s="6" t="s">
        <v>222</v>
      </c>
      <c r="F68" s="6" t="s">
        <v>17</v>
      </c>
      <c r="G68" s="6" t="s">
        <v>18</v>
      </c>
      <c r="H68" s="5">
        <v>45605.322928240741</v>
      </c>
      <c r="I68" s="6" t="s">
        <v>204</v>
      </c>
      <c r="J68" s="5">
        <v>45616.653148148151</v>
      </c>
      <c r="L68" s="6" t="s">
        <v>163</v>
      </c>
      <c r="M68" s="5">
        <v>45616.653148148151</v>
      </c>
      <c r="N68" s="5" t="s">
        <v>134</v>
      </c>
      <c r="O68" s="45" t="str">
        <f>_xlfn.XLOOKUP(TAB.IDEIAS.TOTAL[[#This Row],[Enviado por]],'BASE DMOS'!A:A,'BASE DMOS'!C:C,"Não encontrado")</f>
        <v>OPERAÇÃO</v>
      </c>
    </row>
    <row r="69" spans="1:15" ht="217.5" x14ac:dyDescent="0.35">
      <c r="A69" s="6" t="s">
        <v>388</v>
      </c>
      <c r="B69" s="6" t="s">
        <v>389</v>
      </c>
      <c r="C69" s="6" t="s">
        <v>184</v>
      </c>
      <c r="D69" s="6" t="s">
        <v>390</v>
      </c>
      <c r="E69" s="6" t="s">
        <v>102</v>
      </c>
      <c r="F69" s="6" t="s">
        <v>17</v>
      </c>
      <c r="G69" s="6" t="s">
        <v>18</v>
      </c>
      <c r="H69" s="5">
        <v>45607.788622685184</v>
      </c>
      <c r="I69" s="6" t="s">
        <v>91</v>
      </c>
      <c r="J69" s="5">
        <v>45925.641851851855</v>
      </c>
      <c r="K69" s="6" t="s">
        <v>391</v>
      </c>
      <c r="L69" s="6" t="s">
        <v>32</v>
      </c>
      <c r="M69" s="5"/>
      <c r="N69" s="14" t="s">
        <v>392</v>
      </c>
      <c r="O69" s="45" t="str">
        <f>_xlfn.XLOOKUP(TAB.IDEIAS.TOTAL[[#This Row],[Enviado por]],'BASE DMOS'!A:A,'BASE DMOS'!C:C,"Não encontrado")</f>
        <v>OPERAÇÃO</v>
      </c>
    </row>
    <row r="70" spans="1:15" ht="130.5" x14ac:dyDescent="0.35">
      <c r="A70" s="6" t="s">
        <v>393</v>
      </c>
      <c r="B70" s="6" t="s">
        <v>394</v>
      </c>
      <c r="C70" s="6" t="s">
        <v>15</v>
      </c>
      <c r="D70" s="6" t="s">
        <v>395</v>
      </c>
      <c r="F70" s="6" t="s">
        <v>17</v>
      </c>
      <c r="G70" s="6" t="s">
        <v>61</v>
      </c>
      <c r="H70" s="5">
        <v>45607.916689814818</v>
      </c>
      <c r="I70" s="6" t="s">
        <v>332</v>
      </c>
      <c r="J70" s="5">
        <v>45903.628703703704</v>
      </c>
      <c r="L70" s="6" t="s">
        <v>66</v>
      </c>
      <c r="M70" s="5">
        <v>45903.628703703704</v>
      </c>
      <c r="N70" s="5" t="s">
        <v>15</v>
      </c>
      <c r="O70" s="45">
        <f>_xlfn.XLOOKUP(TAB.IDEIAS.TOTAL[[#This Row],[Enviado por]],'BASE DMOS'!A:A,'BASE DMOS'!C:C,"Não encontrado")</f>
        <v>0</v>
      </c>
    </row>
    <row r="71" spans="1:15" ht="58" x14ac:dyDescent="0.35">
      <c r="A71" s="6" t="s">
        <v>396</v>
      </c>
      <c r="B71" s="6" t="s">
        <v>397</v>
      </c>
      <c r="C71" s="6" t="s">
        <v>148</v>
      </c>
      <c r="D71" s="6" t="s">
        <v>398</v>
      </c>
      <c r="E71" s="6" t="s">
        <v>381</v>
      </c>
      <c r="F71" s="6" t="s">
        <v>17</v>
      </c>
      <c r="G71" s="6" t="s">
        <v>24</v>
      </c>
      <c r="H71" s="5">
        <v>45608.005636574075</v>
      </c>
      <c r="I71" s="6" t="s">
        <v>399</v>
      </c>
      <c r="J71" s="5">
        <v>45960.602268518516</v>
      </c>
      <c r="K71" s="6" t="s">
        <v>127</v>
      </c>
      <c r="L71" s="6" t="s">
        <v>66</v>
      </c>
      <c r="M71" s="5"/>
      <c r="N71" s="5" t="s">
        <v>148</v>
      </c>
      <c r="O71" s="45" t="str">
        <f>_xlfn.XLOOKUP(TAB.IDEIAS.TOTAL[[#This Row],[Enviado por]],'BASE DMOS'!A:A,'BASE DMOS'!C:C,"Não encontrado")</f>
        <v>OPERAÇÃO</v>
      </c>
    </row>
    <row r="72" spans="1:15" ht="116" x14ac:dyDescent="0.35">
      <c r="A72" s="6" t="s">
        <v>100</v>
      </c>
      <c r="B72" s="6" t="s">
        <v>101</v>
      </c>
      <c r="C72" s="6" t="s">
        <v>148</v>
      </c>
      <c r="D72" s="6" t="s">
        <v>400</v>
      </c>
      <c r="E72" s="6" t="s">
        <v>102</v>
      </c>
      <c r="F72" s="6" t="s">
        <v>17</v>
      </c>
      <c r="G72" s="6" t="s">
        <v>24</v>
      </c>
      <c r="H72" s="5">
        <v>45608.787905092591</v>
      </c>
      <c r="I72" s="6" t="s">
        <v>86</v>
      </c>
      <c r="J72" s="5">
        <v>46099.399675925924</v>
      </c>
      <c r="L72" s="6" t="s">
        <v>87</v>
      </c>
      <c r="M72" s="5"/>
      <c r="N72" s="5" t="s">
        <v>148</v>
      </c>
      <c r="O72" s="45" t="str">
        <f>_xlfn.XLOOKUP(TAB.IDEIAS.TOTAL[[#This Row],[Enviado por]],'BASE DMOS'!A:A,'BASE DMOS'!C:C,"Não encontrado")</f>
        <v>OPERAÇÃO</v>
      </c>
    </row>
    <row r="73" spans="1:15" ht="29" x14ac:dyDescent="0.35">
      <c r="A73" s="6" t="s">
        <v>401</v>
      </c>
      <c r="B73" s="6" t="s">
        <v>402</v>
      </c>
      <c r="C73" s="6" t="s">
        <v>134</v>
      </c>
      <c r="D73" s="6" t="s">
        <v>403</v>
      </c>
      <c r="E73" s="6" t="s">
        <v>40</v>
      </c>
      <c r="F73" s="6" t="s">
        <v>17</v>
      </c>
      <c r="G73" s="6" t="s">
        <v>18</v>
      </c>
      <c r="H73" s="5">
        <v>45608.967928240738</v>
      </c>
      <c r="I73" s="6" t="s">
        <v>25</v>
      </c>
      <c r="J73" s="5">
        <v>45922.626203703701</v>
      </c>
      <c r="K73" s="6" t="s">
        <v>29</v>
      </c>
      <c r="L73" s="6" t="s">
        <v>26</v>
      </c>
      <c r="M73" s="5">
        <v>45922.626203703701</v>
      </c>
      <c r="N73" s="5" t="s">
        <v>134</v>
      </c>
      <c r="O73" s="45" t="str">
        <f>_xlfn.XLOOKUP(TAB.IDEIAS.TOTAL[[#This Row],[Enviado por]],'BASE DMOS'!A:A,'BASE DMOS'!C:C,"Não encontrado")</f>
        <v>OPERAÇÃO</v>
      </c>
    </row>
    <row r="74" spans="1:15" ht="29" x14ac:dyDescent="0.35">
      <c r="A74" s="6" t="s">
        <v>404</v>
      </c>
      <c r="B74" s="6" t="s">
        <v>405</v>
      </c>
      <c r="C74" s="6" t="s">
        <v>134</v>
      </c>
      <c r="D74" s="6" t="s">
        <v>406</v>
      </c>
      <c r="E74" s="6" t="s">
        <v>53</v>
      </c>
      <c r="F74" s="6" t="s">
        <v>17</v>
      </c>
      <c r="G74" s="6" t="s">
        <v>61</v>
      </c>
      <c r="H74" s="5">
        <v>45608.980057870373</v>
      </c>
      <c r="I74" s="6" t="s">
        <v>98</v>
      </c>
      <c r="J74" s="5">
        <v>45628.577476851853</v>
      </c>
      <c r="K74" s="6" t="s">
        <v>97</v>
      </c>
      <c r="L74" s="6" t="s">
        <v>273</v>
      </c>
      <c r="M74" s="5">
        <v>45628.577476851853</v>
      </c>
      <c r="N74" s="5" t="s">
        <v>134</v>
      </c>
      <c r="O74" s="45" t="str">
        <f>_xlfn.XLOOKUP(TAB.IDEIAS.TOTAL[[#This Row],[Enviado por]],'BASE DMOS'!A:A,'BASE DMOS'!C:C,"Não encontrado")</f>
        <v>OPERAÇÃO</v>
      </c>
    </row>
    <row r="75" spans="1:15" ht="29" x14ac:dyDescent="0.35">
      <c r="A75" s="6" t="s">
        <v>407</v>
      </c>
      <c r="B75" s="6" t="s">
        <v>408</v>
      </c>
      <c r="C75" s="6" t="s">
        <v>148</v>
      </c>
      <c r="D75" s="6" t="s">
        <v>409</v>
      </c>
      <c r="E75" s="6" t="s">
        <v>40</v>
      </c>
      <c r="F75" s="6" t="s">
        <v>17</v>
      </c>
      <c r="G75" s="6" t="s">
        <v>124</v>
      </c>
      <c r="H75" s="5">
        <v>45609.196805555555</v>
      </c>
      <c r="I75" s="6" t="s">
        <v>25</v>
      </c>
      <c r="J75" s="5">
        <v>45752.507604166669</v>
      </c>
      <c r="K75" s="6" t="s">
        <v>151</v>
      </c>
      <c r="L75" s="6" t="s">
        <v>26</v>
      </c>
      <c r="M75" s="5"/>
      <c r="N75" s="5" t="s">
        <v>148</v>
      </c>
      <c r="O75" s="45" t="str">
        <f>_xlfn.XLOOKUP(TAB.IDEIAS.TOTAL[[#This Row],[Enviado por]],'BASE DMOS'!A:A,'BASE DMOS'!C:C,"Não encontrado")</f>
        <v>OPERAÇÃO</v>
      </c>
    </row>
    <row r="76" spans="1:15" ht="58" x14ac:dyDescent="0.35">
      <c r="A76" s="6" t="s">
        <v>410</v>
      </c>
      <c r="B76" s="6" t="s">
        <v>411</v>
      </c>
      <c r="C76" s="6" t="s">
        <v>134</v>
      </c>
      <c r="D76" s="6" t="s">
        <v>412</v>
      </c>
      <c r="E76" s="6" t="s">
        <v>337</v>
      </c>
      <c r="F76" s="6" t="s">
        <v>17</v>
      </c>
      <c r="G76" s="6" t="s">
        <v>30</v>
      </c>
      <c r="H76" s="5">
        <v>45615.597418981481</v>
      </c>
      <c r="I76" s="6" t="s">
        <v>227</v>
      </c>
      <c r="J76" s="5">
        <v>45835.453159722223</v>
      </c>
      <c r="K76" s="6" t="s">
        <v>337</v>
      </c>
      <c r="L76" s="6" t="s">
        <v>228</v>
      </c>
      <c r="M76" s="5">
        <v>45835.453159722223</v>
      </c>
      <c r="N76" s="5" t="s">
        <v>134</v>
      </c>
      <c r="O76" s="45" t="str">
        <f>_xlfn.XLOOKUP(TAB.IDEIAS.TOTAL[[#This Row],[Enviado por]],'BASE DMOS'!A:A,'BASE DMOS'!C:C,"Não encontrado")</f>
        <v>ADM/TÉCNICO/ASSISTENTE/ESTAG.</v>
      </c>
    </row>
    <row r="77" spans="1:15" ht="29" x14ac:dyDescent="0.35">
      <c r="A77" s="6" t="s">
        <v>413</v>
      </c>
      <c r="B77" s="6" t="s">
        <v>414</v>
      </c>
      <c r="C77" s="6" t="s">
        <v>134</v>
      </c>
      <c r="D77" s="6" t="s">
        <v>415</v>
      </c>
      <c r="E77" s="6" t="s">
        <v>416</v>
      </c>
      <c r="F77" s="6" t="s">
        <v>17</v>
      </c>
      <c r="G77" s="6" t="s">
        <v>61</v>
      </c>
      <c r="H77" s="5">
        <v>45616.361087962963</v>
      </c>
      <c r="I77" s="6" t="s">
        <v>50</v>
      </c>
      <c r="J77" s="5">
        <v>45959.623981481483</v>
      </c>
      <c r="K77" s="6" t="s">
        <v>109</v>
      </c>
      <c r="L77" s="6" t="s">
        <v>66</v>
      </c>
      <c r="M77" s="5">
        <v>45959.623981481483</v>
      </c>
      <c r="N77" s="5" t="s">
        <v>134</v>
      </c>
      <c r="O77" s="45" t="str">
        <f>_xlfn.XLOOKUP(TAB.IDEIAS.TOTAL[[#This Row],[Enviado por]],'BASE DMOS'!A:A,'BASE DMOS'!C:C,"Não encontrado")</f>
        <v>OPERAÇÃO</v>
      </c>
    </row>
    <row r="78" spans="1:15" ht="348" x14ac:dyDescent="0.35">
      <c r="A78" s="6" t="s">
        <v>417</v>
      </c>
      <c r="B78" s="6" t="s">
        <v>418</v>
      </c>
      <c r="C78" s="6" t="s">
        <v>184</v>
      </c>
      <c r="D78" s="6" t="s">
        <v>419</v>
      </c>
      <c r="E78" s="6" t="s">
        <v>420</v>
      </c>
      <c r="F78" s="6" t="s">
        <v>17</v>
      </c>
      <c r="G78" s="6" t="s">
        <v>24</v>
      </c>
      <c r="H78" s="5">
        <v>45619.718784722223</v>
      </c>
      <c r="I78" s="6" t="s">
        <v>98</v>
      </c>
      <c r="J78" s="5">
        <v>46206.451550925929</v>
      </c>
      <c r="K78" s="6" t="s">
        <v>151</v>
      </c>
      <c r="L78" s="6" t="s">
        <v>66</v>
      </c>
      <c r="M78" s="5"/>
      <c r="N78" s="14" t="s">
        <v>392</v>
      </c>
      <c r="O78" s="45" t="str">
        <f>_xlfn.XLOOKUP(TAB.IDEIAS.TOTAL[[#This Row],[Enviado por]],'BASE DMOS'!A:A,'BASE DMOS'!C:C,"Não encontrado")</f>
        <v>ADM/TÉCNICO/ASSISTENTE/ESTAG.</v>
      </c>
    </row>
    <row r="79" spans="1:15" ht="29" x14ac:dyDescent="0.35">
      <c r="A79" s="6" t="s">
        <v>421</v>
      </c>
      <c r="B79" s="6" t="s">
        <v>422</v>
      </c>
      <c r="C79" s="6" t="s">
        <v>184</v>
      </c>
      <c r="D79" s="6" t="s">
        <v>423</v>
      </c>
      <c r="E79" s="6" t="s">
        <v>58</v>
      </c>
      <c r="F79" s="6" t="s">
        <v>17</v>
      </c>
      <c r="G79" s="6" t="s">
        <v>30</v>
      </c>
      <c r="H79" s="5">
        <v>45622.498460648145</v>
      </c>
      <c r="I79" s="6" t="s">
        <v>50</v>
      </c>
      <c r="J79" s="5">
        <v>45644.645196759258</v>
      </c>
      <c r="K79" s="6" t="s">
        <v>58</v>
      </c>
      <c r="L79" s="6" t="s">
        <v>66</v>
      </c>
      <c r="M79" s="5"/>
      <c r="N79" s="43" t="s">
        <v>186</v>
      </c>
      <c r="O79" s="45" t="str">
        <f>_xlfn.XLOOKUP(TAB.IDEIAS.TOTAL[[#This Row],[Enviado por]],'BASE DMOS'!A:A,'BASE DMOS'!C:C,"Não encontrado")</f>
        <v>ADM/TÉCNICO/ASSISTENTE/ESTAG.</v>
      </c>
    </row>
    <row r="80" spans="1:15" ht="29" x14ac:dyDescent="0.35">
      <c r="A80" s="6" t="s">
        <v>424</v>
      </c>
      <c r="B80" s="6" t="s">
        <v>425</v>
      </c>
      <c r="C80" s="6" t="s">
        <v>134</v>
      </c>
      <c r="D80" s="6" t="s">
        <v>426</v>
      </c>
      <c r="E80" s="6" t="s">
        <v>427</v>
      </c>
      <c r="F80" s="6" t="s">
        <v>17</v>
      </c>
      <c r="G80" s="6" t="s">
        <v>124</v>
      </c>
      <c r="H80" s="5">
        <v>45624.168483796297</v>
      </c>
      <c r="I80" s="6" t="s">
        <v>174</v>
      </c>
      <c r="J80" s="5">
        <v>45846.366759259261</v>
      </c>
      <c r="K80" s="6" t="s">
        <v>337</v>
      </c>
      <c r="L80" s="6" t="s">
        <v>66</v>
      </c>
      <c r="M80" s="5">
        <v>45846.366759259261</v>
      </c>
      <c r="N80" s="5" t="s">
        <v>134</v>
      </c>
      <c r="O80" s="45" t="str">
        <f>_xlfn.XLOOKUP(TAB.IDEIAS.TOTAL[[#This Row],[Enviado por]],'BASE DMOS'!A:A,'BASE DMOS'!C:C,"Não encontrado")</f>
        <v>OPERAÇÃO</v>
      </c>
    </row>
    <row r="81" spans="1:16" ht="29" x14ac:dyDescent="0.35">
      <c r="A81" s="6" t="s">
        <v>428</v>
      </c>
      <c r="B81" s="6" t="s">
        <v>429</v>
      </c>
      <c r="C81" s="6" t="s">
        <v>134</v>
      </c>
      <c r="D81" s="6" t="s">
        <v>430</v>
      </c>
      <c r="E81" s="6" t="s">
        <v>58</v>
      </c>
      <c r="F81" s="6" t="s">
        <v>17</v>
      </c>
      <c r="G81" s="6" t="s">
        <v>30</v>
      </c>
      <c r="H81" s="5">
        <v>45625.712060185186</v>
      </c>
      <c r="I81" s="6" t="s">
        <v>50</v>
      </c>
      <c r="J81" s="5">
        <v>45919.557581018518</v>
      </c>
      <c r="K81" s="6" t="s">
        <v>58</v>
      </c>
      <c r="L81" s="6" t="s">
        <v>66</v>
      </c>
      <c r="M81" s="5">
        <v>45919.557581018518</v>
      </c>
      <c r="N81" s="5" t="s">
        <v>134</v>
      </c>
      <c r="O81" s="45" t="str">
        <f>_xlfn.XLOOKUP(TAB.IDEIAS.TOTAL[[#This Row],[Enviado por]],'BASE DMOS'!A:A,'BASE DMOS'!C:C,"Não encontrado")</f>
        <v>ADM/TÉCNICO/ASSISTENTE/ESTAG.</v>
      </c>
    </row>
    <row r="82" spans="1:16" ht="29" x14ac:dyDescent="0.35">
      <c r="A82" s="6" t="s">
        <v>431</v>
      </c>
      <c r="B82" s="6" t="s">
        <v>432</v>
      </c>
      <c r="C82" s="6" t="s">
        <v>184</v>
      </c>
      <c r="D82" s="6" t="s">
        <v>432</v>
      </c>
      <c r="E82" s="6" t="s">
        <v>58</v>
      </c>
      <c r="F82" s="6" t="s">
        <v>17</v>
      </c>
      <c r="G82" s="6" t="s">
        <v>30</v>
      </c>
      <c r="H82" s="5">
        <v>45625.71398148148</v>
      </c>
      <c r="I82" s="6" t="s">
        <v>50</v>
      </c>
      <c r="J82" s="5">
        <v>45919.568553240744</v>
      </c>
      <c r="K82" s="6" t="s">
        <v>58</v>
      </c>
      <c r="L82" s="6" t="s">
        <v>66</v>
      </c>
      <c r="M82" s="5"/>
      <c r="N82" s="43" t="s">
        <v>186</v>
      </c>
      <c r="O82" s="45" t="str">
        <f>_xlfn.XLOOKUP(TAB.IDEIAS.TOTAL[[#This Row],[Enviado por]],'BASE DMOS'!A:A,'BASE DMOS'!C:C,"Não encontrado")</f>
        <v>ADM/TÉCNICO/ASSISTENTE/ESTAG.</v>
      </c>
    </row>
    <row r="83" spans="1:16" ht="29" x14ac:dyDescent="0.35">
      <c r="A83" s="6" t="s">
        <v>433</v>
      </c>
      <c r="B83" s="6" t="s">
        <v>434</v>
      </c>
      <c r="C83" s="6" t="s">
        <v>134</v>
      </c>
      <c r="D83" s="6" t="s">
        <v>434</v>
      </c>
      <c r="E83" s="6" t="s">
        <v>58</v>
      </c>
      <c r="F83" s="6" t="s">
        <v>17</v>
      </c>
      <c r="G83" s="6" t="s">
        <v>30</v>
      </c>
      <c r="H83" s="5">
        <v>45625.732499999998</v>
      </c>
      <c r="I83" s="6" t="s">
        <v>50</v>
      </c>
      <c r="J83" s="5">
        <v>45919.570300925923</v>
      </c>
      <c r="K83" s="6" t="s">
        <v>58</v>
      </c>
      <c r="L83" s="6" t="s">
        <v>66</v>
      </c>
      <c r="M83" s="5">
        <v>45919.570300925923</v>
      </c>
      <c r="N83" s="5" t="s">
        <v>134</v>
      </c>
      <c r="O83" s="45" t="str">
        <f>_xlfn.XLOOKUP(TAB.IDEIAS.TOTAL[[#This Row],[Enviado por]],'BASE DMOS'!A:A,'BASE DMOS'!C:C,"Não encontrado")</f>
        <v>ADM/TÉCNICO/ASSISTENTE/ESTAG.</v>
      </c>
    </row>
    <row r="84" spans="1:16" ht="29" x14ac:dyDescent="0.35">
      <c r="A84" s="6" t="s">
        <v>435</v>
      </c>
      <c r="B84" s="6" t="s">
        <v>436</v>
      </c>
      <c r="C84" s="6" t="s">
        <v>15</v>
      </c>
      <c r="D84" s="6" t="s">
        <v>437</v>
      </c>
      <c r="E84" s="6" t="s">
        <v>438</v>
      </c>
      <c r="F84" s="6" t="s">
        <v>17</v>
      </c>
      <c r="G84" s="6" t="s">
        <v>24</v>
      </c>
      <c r="H84" s="5">
        <v>45625.733090277776</v>
      </c>
      <c r="I84" s="6" t="s">
        <v>272</v>
      </c>
      <c r="J84" s="5">
        <v>45908.479143518518</v>
      </c>
      <c r="L84" s="6" t="s">
        <v>273</v>
      </c>
      <c r="M84" s="5">
        <v>45908.479143518518</v>
      </c>
      <c r="N84" s="5" t="s">
        <v>15</v>
      </c>
      <c r="O84" s="45" t="str">
        <f>_xlfn.XLOOKUP(TAB.IDEIAS.TOTAL[[#This Row],[Enviado por]],'BASE DMOS'!A:A,'BASE DMOS'!C:C,"Não encontrado")</f>
        <v>OPERAÇÃO</v>
      </c>
    </row>
    <row r="85" spans="1:16" ht="29" x14ac:dyDescent="0.35">
      <c r="A85" s="6" t="s">
        <v>439</v>
      </c>
      <c r="B85" s="6" t="s">
        <v>440</v>
      </c>
      <c r="C85" s="6" t="s">
        <v>134</v>
      </c>
      <c r="D85" s="6" t="s">
        <v>441</v>
      </c>
      <c r="E85" s="6" t="s">
        <v>53</v>
      </c>
      <c r="F85" s="6" t="s">
        <v>17</v>
      </c>
      <c r="G85" s="6" t="s">
        <v>54</v>
      </c>
      <c r="H85" s="5">
        <v>45630.979826388888</v>
      </c>
      <c r="I85" s="6" t="s">
        <v>36</v>
      </c>
      <c r="J85" s="5">
        <v>45873.250648148147</v>
      </c>
      <c r="K85" s="6" t="s">
        <v>105</v>
      </c>
      <c r="L85" s="6" t="s">
        <v>66</v>
      </c>
      <c r="M85" s="5">
        <v>45873.250648148147</v>
      </c>
      <c r="N85" s="5" t="s">
        <v>134</v>
      </c>
      <c r="O85" s="45" t="str">
        <f>_xlfn.XLOOKUP(TAB.IDEIAS.TOTAL[[#This Row],[Enviado por]],'BASE DMOS'!A:A,'BASE DMOS'!C:C,"Não encontrado")</f>
        <v>OPERAÇÃO</v>
      </c>
    </row>
    <row r="86" spans="1:16" ht="275.5" x14ac:dyDescent="0.35">
      <c r="A86" s="6" t="s">
        <v>442</v>
      </c>
      <c r="B86" s="6" t="s">
        <v>443</v>
      </c>
      <c r="C86" s="6" t="s">
        <v>148</v>
      </c>
      <c r="D86" s="6" t="s">
        <v>444</v>
      </c>
      <c r="E86" s="6" t="s">
        <v>420</v>
      </c>
      <c r="F86" s="6" t="s">
        <v>17</v>
      </c>
      <c r="G86" s="6" t="s">
        <v>24</v>
      </c>
      <c r="H86" s="5">
        <v>45631.865023148152</v>
      </c>
      <c r="I86" s="6" t="s">
        <v>204</v>
      </c>
      <c r="J86" s="5">
        <v>46148.48097222222</v>
      </c>
      <c r="K86" s="6" t="s">
        <v>445</v>
      </c>
      <c r="L86" s="6" t="s">
        <v>163</v>
      </c>
      <c r="M86" s="5"/>
      <c r="N86" s="5" t="s">
        <v>148</v>
      </c>
      <c r="O86" s="45" t="str">
        <f>_xlfn.XLOOKUP(TAB.IDEIAS.TOTAL[[#This Row],[Enviado por]],'BASE DMOS'!A:A,'BASE DMOS'!C:C,"Não encontrado")</f>
        <v>ADM/TÉCNICO/ASSISTENTE/ESTAG.</v>
      </c>
      <c r="P86" t="s">
        <v>248</v>
      </c>
    </row>
    <row r="87" spans="1:16" ht="87" x14ac:dyDescent="0.35">
      <c r="A87" s="6" t="s">
        <v>446</v>
      </c>
      <c r="B87" s="6" t="s">
        <v>447</v>
      </c>
      <c r="C87" s="6" t="s">
        <v>148</v>
      </c>
      <c r="D87" s="6" t="s">
        <v>448</v>
      </c>
      <c r="E87" s="6" t="s">
        <v>53</v>
      </c>
      <c r="F87" s="6" t="s">
        <v>17</v>
      </c>
      <c r="G87" s="6" t="s">
        <v>24</v>
      </c>
      <c r="H87" s="5">
        <v>45631.972986111112</v>
      </c>
      <c r="I87" s="6" t="s">
        <v>50</v>
      </c>
      <c r="J87" s="5">
        <v>46206.451886574076</v>
      </c>
      <c r="K87" s="6" t="s">
        <v>449</v>
      </c>
      <c r="L87" s="6" t="s">
        <v>66</v>
      </c>
      <c r="M87" s="5"/>
      <c r="N87" s="5" t="s">
        <v>148</v>
      </c>
      <c r="O87" s="45" t="str">
        <f>_xlfn.XLOOKUP(TAB.IDEIAS.TOTAL[[#This Row],[Enviado por]],'BASE DMOS'!A:A,'BASE DMOS'!C:C,"Não encontrado")</f>
        <v>OPERAÇÃO</v>
      </c>
    </row>
    <row r="88" spans="1:16" ht="72.5" x14ac:dyDescent="0.35">
      <c r="A88" s="6" t="s">
        <v>450</v>
      </c>
      <c r="B88" s="6" t="s">
        <v>451</v>
      </c>
      <c r="C88" s="6" t="s">
        <v>184</v>
      </c>
      <c r="D88" s="6" t="s">
        <v>452</v>
      </c>
      <c r="E88" s="6" t="s">
        <v>16</v>
      </c>
      <c r="F88" s="6" t="s">
        <v>17</v>
      </c>
      <c r="G88" s="6" t="s">
        <v>61</v>
      </c>
      <c r="H88" s="5">
        <v>45632.484525462962</v>
      </c>
      <c r="I88" s="6" t="s">
        <v>91</v>
      </c>
      <c r="J88" s="5">
        <v>45827.394571759258</v>
      </c>
      <c r="K88" s="6" t="s">
        <v>90</v>
      </c>
      <c r="L88" s="6" t="s">
        <v>32</v>
      </c>
      <c r="M88" s="5"/>
      <c r="N88" s="43" t="s">
        <v>186</v>
      </c>
      <c r="O88" s="45" t="str">
        <f>_xlfn.XLOOKUP(TAB.IDEIAS.TOTAL[[#This Row],[Enviado por]],'BASE DMOS'!A:A,'BASE DMOS'!C:C,"Não encontrado")</f>
        <v>OPERAÇÃO</v>
      </c>
    </row>
    <row r="89" spans="1:16" ht="29" x14ac:dyDescent="0.35">
      <c r="A89" s="6" t="s">
        <v>453</v>
      </c>
      <c r="B89" s="6" t="s">
        <v>454</v>
      </c>
      <c r="C89" s="6" t="s">
        <v>184</v>
      </c>
      <c r="D89" s="6" t="s">
        <v>455</v>
      </c>
      <c r="E89" s="6" t="s">
        <v>58</v>
      </c>
      <c r="F89" s="6" t="s">
        <v>17</v>
      </c>
      <c r="G89" s="6" t="s">
        <v>30</v>
      </c>
      <c r="H89" s="5">
        <v>45638.41065972222</v>
      </c>
      <c r="I89" s="6" t="s">
        <v>50</v>
      </c>
      <c r="J89" s="5">
        <v>45919.568993055553</v>
      </c>
      <c r="K89" s="6" t="s">
        <v>58</v>
      </c>
      <c r="L89" s="6" t="s">
        <v>66</v>
      </c>
      <c r="M89" s="5"/>
      <c r="N89" s="14" t="s">
        <v>215</v>
      </c>
      <c r="O89" s="45" t="str">
        <f>_xlfn.XLOOKUP(TAB.IDEIAS.TOTAL[[#This Row],[Enviado por]],'BASE DMOS'!A:A,'BASE DMOS'!C:C,"Não encontrado")</f>
        <v>ADM/TÉCNICO/ASSISTENTE/ESTAG.</v>
      </c>
    </row>
    <row r="90" spans="1:16" ht="29" x14ac:dyDescent="0.35">
      <c r="A90" s="6" t="s">
        <v>456</v>
      </c>
      <c r="B90" s="6" t="s">
        <v>457</v>
      </c>
      <c r="C90" s="6" t="s">
        <v>184</v>
      </c>
      <c r="D90" s="6" t="s">
        <v>457</v>
      </c>
      <c r="E90" s="6" t="s">
        <v>58</v>
      </c>
      <c r="F90" s="6" t="s">
        <v>17</v>
      </c>
      <c r="G90" s="6" t="s">
        <v>30</v>
      </c>
      <c r="H90" s="5">
        <v>45638.412708333337</v>
      </c>
      <c r="I90" s="6" t="s">
        <v>458</v>
      </c>
      <c r="J90" s="5">
        <v>45644.644675925927</v>
      </c>
      <c r="K90" s="6" t="s">
        <v>58</v>
      </c>
      <c r="L90" s="6" t="s">
        <v>66</v>
      </c>
      <c r="M90" s="5"/>
      <c r="N90" s="43" t="s">
        <v>186</v>
      </c>
      <c r="O90" s="45" t="str">
        <f>_xlfn.XLOOKUP(TAB.IDEIAS.TOTAL[[#This Row],[Enviado por]],'BASE DMOS'!A:A,'BASE DMOS'!C:C,"Não encontrado")</f>
        <v>ADM/TÉCNICO/ASSISTENTE/ESTAG.</v>
      </c>
    </row>
    <row r="91" spans="1:16" ht="29" x14ac:dyDescent="0.35">
      <c r="A91" s="6" t="s">
        <v>459</v>
      </c>
      <c r="B91" s="6" t="s">
        <v>460</v>
      </c>
      <c r="C91" s="6" t="s">
        <v>134</v>
      </c>
      <c r="D91" s="6" t="s">
        <v>460</v>
      </c>
      <c r="E91" s="6" t="s">
        <v>58</v>
      </c>
      <c r="F91" s="6" t="s">
        <v>17</v>
      </c>
      <c r="G91" s="6" t="s">
        <v>30</v>
      </c>
      <c r="H91" s="5">
        <v>45638.415254629632</v>
      </c>
      <c r="I91" s="6" t="s">
        <v>50</v>
      </c>
      <c r="J91" s="5">
        <v>45919.570729166669</v>
      </c>
      <c r="K91" s="6" t="s">
        <v>58</v>
      </c>
      <c r="L91" s="6" t="s">
        <v>66</v>
      </c>
      <c r="M91" s="5">
        <v>45919.570729166669</v>
      </c>
      <c r="N91" s="5" t="s">
        <v>134</v>
      </c>
      <c r="O91" s="45" t="str">
        <f>_xlfn.XLOOKUP(TAB.IDEIAS.TOTAL[[#This Row],[Enviado por]],'BASE DMOS'!A:A,'BASE DMOS'!C:C,"Não encontrado")</f>
        <v>ADM/TÉCNICO/ASSISTENTE/ESTAG.</v>
      </c>
    </row>
    <row r="92" spans="1:16" ht="29" x14ac:dyDescent="0.35">
      <c r="A92" s="6" t="s">
        <v>461</v>
      </c>
      <c r="B92" s="6" t="s">
        <v>462</v>
      </c>
      <c r="C92" s="6" t="s">
        <v>184</v>
      </c>
      <c r="D92" s="6" t="s">
        <v>463</v>
      </c>
      <c r="E92" s="6" t="s">
        <v>58</v>
      </c>
      <c r="F92" s="6" t="s">
        <v>17</v>
      </c>
      <c r="G92" s="6" t="s">
        <v>30</v>
      </c>
      <c r="H92" s="5">
        <v>45638.49417824074</v>
      </c>
      <c r="I92" s="6" t="s">
        <v>50</v>
      </c>
      <c r="J92" s="5">
        <v>45810.633067129631</v>
      </c>
      <c r="K92" s="6" t="s">
        <v>58</v>
      </c>
      <c r="L92" s="6" t="s">
        <v>66</v>
      </c>
      <c r="M92" s="5"/>
      <c r="N92" s="43" t="s">
        <v>186</v>
      </c>
      <c r="O92" s="45" t="str">
        <f>_xlfn.XLOOKUP(TAB.IDEIAS.TOTAL[[#This Row],[Enviado por]],'BASE DMOS'!A:A,'BASE DMOS'!C:C,"Não encontrado")</f>
        <v>ADM/TÉCNICO/ASSISTENTE/ESTAG.</v>
      </c>
    </row>
    <row r="93" spans="1:16" ht="174" x14ac:dyDescent="0.35">
      <c r="A93" s="6" t="s">
        <v>464</v>
      </c>
      <c r="B93" s="6" t="s">
        <v>465</v>
      </c>
      <c r="C93" s="6" t="s">
        <v>15</v>
      </c>
      <c r="D93" s="6" t="s">
        <v>466</v>
      </c>
      <c r="E93" s="6" t="s">
        <v>81</v>
      </c>
      <c r="F93" s="6" t="s">
        <v>17</v>
      </c>
      <c r="G93" s="6" t="s">
        <v>61</v>
      </c>
      <c r="H93" s="5">
        <v>45638.759398148148</v>
      </c>
      <c r="I93" s="6" t="s">
        <v>98</v>
      </c>
      <c r="J93" s="5">
        <v>45825.631261574075</v>
      </c>
      <c r="L93" s="6" t="s">
        <v>273</v>
      </c>
      <c r="M93" s="5">
        <v>45825.631261574075</v>
      </c>
      <c r="N93" s="5" t="s">
        <v>15</v>
      </c>
      <c r="O93" s="45" t="str">
        <f>_xlfn.XLOOKUP(TAB.IDEIAS.TOTAL[[#This Row],[Enviado por]],'BASE DMOS'!A:A,'BASE DMOS'!C:C,"Não encontrado")</f>
        <v>OPERAÇÃO</v>
      </c>
    </row>
    <row r="94" spans="1:16" ht="87" x14ac:dyDescent="0.35">
      <c r="A94" s="6" t="s">
        <v>467</v>
      </c>
      <c r="B94" s="6" t="s">
        <v>468</v>
      </c>
      <c r="C94" s="6" t="s">
        <v>148</v>
      </c>
      <c r="D94" s="6" t="s">
        <v>469</v>
      </c>
      <c r="E94" s="6" t="s">
        <v>222</v>
      </c>
      <c r="F94" s="6" t="s">
        <v>17</v>
      </c>
      <c r="G94" s="6" t="s">
        <v>24</v>
      </c>
      <c r="H94" s="5">
        <v>45640.389675925922</v>
      </c>
      <c r="I94" s="6" t="s">
        <v>264</v>
      </c>
      <c r="J94" s="5">
        <v>46164.578634259262</v>
      </c>
      <c r="K94" s="6" t="s">
        <v>29</v>
      </c>
      <c r="L94" s="6" t="s">
        <v>32</v>
      </c>
      <c r="M94" s="5"/>
      <c r="N94" s="5" t="s">
        <v>148</v>
      </c>
      <c r="O94" s="45" t="str">
        <f>_xlfn.XLOOKUP(TAB.IDEIAS.TOTAL[[#This Row],[Enviado por]],'BASE DMOS'!A:A,'BASE DMOS'!C:C,"Não encontrado")</f>
        <v>OPERAÇÃO</v>
      </c>
    </row>
    <row r="95" spans="1:16" ht="58" x14ac:dyDescent="0.35">
      <c r="A95" s="6" t="s">
        <v>470</v>
      </c>
      <c r="B95" s="6" t="s">
        <v>471</v>
      </c>
      <c r="C95" s="6" t="s">
        <v>134</v>
      </c>
      <c r="D95" s="6" t="s">
        <v>472</v>
      </c>
      <c r="E95" s="6" t="s">
        <v>222</v>
      </c>
      <c r="F95" s="6" t="s">
        <v>17</v>
      </c>
      <c r="G95" s="6" t="s">
        <v>24</v>
      </c>
      <c r="H95" s="5">
        <v>45640.393437500003</v>
      </c>
      <c r="I95" s="6" t="s">
        <v>473</v>
      </c>
      <c r="J95" s="5">
        <v>45861.308263888888</v>
      </c>
      <c r="L95" s="6" t="s">
        <v>163</v>
      </c>
      <c r="M95" s="5">
        <v>45861.308263888888</v>
      </c>
      <c r="N95" s="5" t="s">
        <v>134</v>
      </c>
      <c r="O95" s="45" t="str">
        <f>_xlfn.XLOOKUP(TAB.IDEIAS.TOTAL[[#This Row],[Enviado por]],'BASE DMOS'!A:A,'BASE DMOS'!C:C,"Não encontrado")</f>
        <v>OPERAÇÃO</v>
      </c>
    </row>
    <row r="96" spans="1:16" ht="87" x14ac:dyDescent="0.35">
      <c r="A96" s="6" t="s">
        <v>474</v>
      </c>
      <c r="B96" s="6" t="s">
        <v>475</v>
      </c>
      <c r="C96" s="6" t="s">
        <v>184</v>
      </c>
      <c r="D96" s="6" t="s">
        <v>476</v>
      </c>
      <c r="E96" s="6" t="s">
        <v>222</v>
      </c>
      <c r="F96" s="6" t="s">
        <v>17</v>
      </c>
      <c r="G96" s="6" t="s">
        <v>24</v>
      </c>
      <c r="H96" s="5">
        <v>45640.400787037041</v>
      </c>
      <c r="I96" s="6" t="s">
        <v>473</v>
      </c>
      <c r="J96" s="5">
        <v>46128.650243055556</v>
      </c>
      <c r="K96" s="6" t="s">
        <v>445</v>
      </c>
      <c r="L96" s="6" t="s">
        <v>163</v>
      </c>
      <c r="M96" s="5"/>
      <c r="N96" s="43" t="s">
        <v>186</v>
      </c>
      <c r="O96" s="45" t="str">
        <f>_xlfn.XLOOKUP(TAB.IDEIAS.TOTAL[[#This Row],[Enviado por]],'BASE DMOS'!A:A,'BASE DMOS'!C:C,"Não encontrado")</f>
        <v>OPERAÇÃO</v>
      </c>
    </row>
    <row r="97" spans="1:15" ht="58" x14ac:dyDescent="0.35">
      <c r="A97" s="6" t="s">
        <v>477</v>
      </c>
      <c r="B97" s="6" t="s">
        <v>478</v>
      </c>
      <c r="C97" s="6" t="s">
        <v>148</v>
      </c>
      <c r="D97" s="6" t="s">
        <v>479</v>
      </c>
      <c r="E97" s="6" t="s">
        <v>150</v>
      </c>
      <c r="F97" s="6" t="s">
        <v>17</v>
      </c>
      <c r="G97" s="6" t="s">
        <v>24</v>
      </c>
      <c r="H97" s="5">
        <v>45643.26662037037</v>
      </c>
      <c r="I97" s="6" t="s">
        <v>242</v>
      </c>
      <c r="J97" s="5">
        <v>46162.665821759256</v>
      </c>
      <c r="K97" s="6" t="s">
        <v>78</v>
      </c>
      <c r="L97" s="6" t="s">
        <v>32</v>
      </c>
      <c r="M97" s="5"/>
      <c r="N97" s="5" t="s">
        <v>148</v>
      </c>
      <c r="O97" s="45" t="str">
        <f>_xlfn.XLOOKUP(TAB.IDEIAS.TOTAL[[#This Row],[Enviado por]],'BASE DMOS'!A:A,'BASE DMOS'!C:C,"Não encontrado")</f>
        <v>OPERAÇÃO</v>
      </c>
    </row>
    <row r="98" spans="1:15" ht="43.5" x14ac:dyDescent="0.35">
      <c r="A98" s="6" t="s">
        <v>480</v>
      </c>
      <c r="B98" s="6" t="s">
        <v>481</v>
      </c>
      <c r="C98" s="6" t="s">
        <v>15</v>
      </c>
      <c r="D98" s="6" t="s">
        <v>482</v>
      </c>
      <c r="E98" s="6" t="s">
        <v>483</v>
      </c>
      <c r="F98" s="6" t="s">
        <v>17</v>
      </c>
      <c r="G98" s="6" t="s">
        <v>124</v>
      </c>
      <c r="H98" s="5">
        <v>45643.424432870372</v>
      </c>
      <c r="I98" s="6" t="s">
        <v>31</v>
      </c>
      <c r="J98" s="5">
        <v>45797.470590277779</v>
      </c>
      <c r="L98" s="6" t="s">
        <v>32</v>
      </c>
      <c r="M98" s="5">
        <v>45797.470590277779</v>
      </c>
      <c r="N98" s="5" t="s">
        <v>15</v>
      </c>
      <c r="O98" s="45" t="str">
        <f>_xlfn.XLOOKUP(TAB.IDEIAS.TOTAL[[#This Row],[Enviado por]],'BASE DMOS'!A:A,'BASE DMOS'!C:C,"Não encontrado")</f>
        <v>ADM/TÉCNICO/ASSISTENTE/ESTAG.</v>
      </c>
    </row>
    <row r="99" spans="1:15" ht="72.5" x14ac:dyDescent="0.35">
      <c r="A99" s="6" t="s">
        <v>484</v>
      </c>
      <c r="B99" s="6" t="s">
        <v>485</v>
      </c>
      <c r="C99" s="6" t="s">
        <v>134</v>
      </c>
      <c r="D99" s="6" t="s">
        <v>486</v>
      </c>
      <c r="F99" s="6" t="s">
        <v>17</v>
      </c>
      <c r="G99" s="6" t="s">
        <v>61</v>
      </c>
      <c r="H99" s="5">
        <v>45664.387129629627</v>
      </c>
      <c r="I99" s="6" t="s">
        <v>487</v>
      </c>
      <c r="J99" s="5">
        <v>45861.560162037036</v>
      </c>
      <c r="K99" s="6" t="s">
        <v>97</v>
      </c>
      <c r="L99" s="6" t="s">
        <v>273</v>
      </c>
      <c r="M99" s="5">
        <v>45861.560162037036</v>
      </c>
      <c r="N99" s="5" t="s">
        <v>134</v>
      </c>
      <c r="O99" s="45">
        <f>_xlfn.XLOOKUP(TAB.IDEIAS.TOTAL[[#This Row],[Enviado por]],'BASE DMOS'!A:A,'BASE DMOS'!C:C,"Não encontrado")</f>
        <v>0</v>
      </c>
    </row>
    <row r="100" spans="1:15" ht="188.5" x14ac:dyDescent="0.35">
      <c r="A100" s="6" t="s">
        <v>488</v>
      </c>
      <c r="B100" s="6" t="s">
        <v>489</v>
      </c>
      <c r="C100" s="6" t="s">
        <v>15</v>
      </c>
      <c r="D100" s="6" t="s">
        <v>490</v>
      </c>
      <c r="E100" s="6" t="s">
        <v>81</v>
      </c>
      <c r="F100" s="6" t="s">
        <v>17</v>
      </c>
      <c r="G100" s="6" t="s">
        <v>24</v>
      </c>
      <c r="H100" s="5">
        <v>45671.727002314816</v>
      </c>
      <c r="I100" s="6" t="s">
        <v>86</v>
      </c>
      <c r="J100" s="5">
        <v>46098.656770833331</v>
      </c>
      <c r="L100" s="6" t="s">
        <v>87</v>
      </c>
      <c r="M100" s="5">
        <v>46098.656770833331</v>
      </c>
      <c r="N100" s="5" t="s">
        <v>15</v>
      </c>
      <c r="O100" s="45" t="str">
        <f>_xlfn.XLOOKUP(TAB.IDEIAS.TOTAL[[#This Row],[Enviado por]],'BASE DMOS'!A:A,'BASE DMOS'!C:C,"Não encontrado")</f>
        <v>OPERAÇÃO</v>
      </c>
    </row>
    <row r="101" spans="1:15" ht="275.5" x14ac:dyDescent="0.35">
      <c r="A101" s="6" t="s">
        <v>491</v>
      </c>
      <c r="B101" s="6" t="s">
        <v>492</v>
      </c>
      <c r="C101" s="6" t="s">
        <v>15</v>
      </c>
      <c r="D101" s="6" t="s">
        <v>493</v>
      </c>
      <c r="E101" s="6" t="s">
        <v>494</v>
      </c>
      <c r="F101" s="6" t="s">
        <v>17</v>
      </c>
      <c r="G101" s="6" t="s">
        <v>18</v>
      </c>
      <c r="H101" s="5">
        <v>45673.435312499998</v>
      </c>
      <c r="I101" s="6" t="s">
        <v>91</v>
      </c>
      <c r="J101" s="5">
        <v>45903.622187499997</v>
      </c>
      <c r="L101" s="6" t="s">
        <v>32</v>
      </c>
      <c r="M101" s="5">
        <v>45903.622187499997</v>
      </c>
      <c r="N101" s="5" t="s">
        <v>15</v>
      </c>
      <c r="O101" s="45" t="str">
        <f>_xlfn.XLOOKUP(TAB.IDEIAS.TOTAL[[#This Row],[Enviado por]],'BASE DMOS'!A:A,'BASE DMOS'!C:C,"Não encontrado")</f>
        <v>OPERAÇÃO</v>
      </c>
    </row>
    <row r="102" spans="1:15" ht="43.5" x14ac:dyDescent="0.35">
      <c r="A102" s="6" t="s">
        <v>495</v>
      </c>
      <c r="B102" s="6" t="s">
        <v>496</v>
      </c>
      <c r="C102" s="6" t="s">
        <v>15</v>
      </c>
      <c r="D102" s="6" t="s">
        <v>497</v>
      </c>
      <c r="E102" s="6" t="s">
        <v>498</v>
      </c>
      <c r="F102" s="6" t="s">
        <v>17</v>
      </c>
      <c r="G102" s="6" t="s">
        <v>61</v>
      </c>
      <c r="H102" s="5">
        <v>45673.492986111109</v>
      </c>
      <c r="I102" s="6" t="s">
        <v>499</v>
      </c>
      <c r="J102" s="5">
        <v>45769.662106481483</v>
      </c>
      <c r="L102" s="6" t="s">
        <v>273</v>
      </c>
      <c r="M102" s="5">
        <v>45769.662106481483</v>
      </c>
      <c r="N102" s="5" t="s">
        <v>15</v>
      </c>
      <c r="O102" s="45" t="str">
        <f>_xlfn.XLOOKUP(TAB.IDEIAS.TOTAL[[#This Row],[Enviado por]],'BASE DMOS'!A:A,'BASE DMOS'!C:C,"Não encontrado")</f>
        <v>ADM/TÉCNICO/ASSISTENTE/ESTAG.</v>
      </c>
    </row>
    <row r="103" spans="1:15" ht="43.5" x14ac:dyDescent="0.35">
      <c r="A103" s="6" t="s">
        <v>500</v>
      </c>
      <c r="B103" s="6" t="s">
        <v>501</v>
      </c>
      <c r="C103" s="6" t="s">
        <v>134</v>
      </c>
      <c r="D103" s="6" t="s">
        <v>502</v>
      </c>
      <c r="E103" s="6" t="s">
        <v>355</v>
      </c>
      <c r="F103" s="6" t="s">
        <v>17</v>
      </c>
      <c r="G103" s="6" t="s">
        <v>61</v>
      </c>
      <c r="H103" s="5">
        <v>45679.353495370371</v>
      </c>
      <c r="I103" s="6" t="s">
        <v>204</v>
      </c>
      <c r="J103" s="5">
        <v>45752.276805555557</v>
      </c>
      <c r="K103" s="6" t="s">
        <v>355</v>
      </c>
      <c r="L103" s="6" t="s">
        <v>163</v>
      </c>
      <c r="M103" s="5">
        <v>45752.276805555557</v>
      </c>
      <c r="N103" s="5" t="s">
        <v>134</v>
      </c>
      <c r="O103" s="45" t="str">
        <f>_xlfn.XLOOKUP(TAB.IDEIAS.TOTAL[[#This Row],[Enviado por]],'BASE DMOS'!A:A,'BASE DMOS'!C:C,"Não encontrado")</f>
        <v>ADM/TÉCNICO/ASSISTENTE/ESTAG.</v>
      </c>
    </row>
    <row r="104" spans="1:15" ht="72.5" x14ac:dyDescent="0.35">
      <c r="A104" s="6" t="s">
        <v>13</v>
      </c>
      <c r="B104" s="6" t="s">
        <v>14</v>
      </c>
      <c r="C104" s="6" t="s">
        <v>134</v>
      </c>
      <c r="D104" s="6" t="s">
        <v>503</v>
      </c>
      <c r="E104" s="6" t="s">
        <v>16</v>
      </c>
      <c r="F104" s="6" t="s">
        <v>17</v>
      </c>
      <c r="G104" s="6" t="s">
        <v>18</v>
      </c>
      <c r="H104" s="5">
        <v>45682.479814814818</v>
      </c>
      <c r="I104" s="6" t="s">
        <v>19</v>
      </c>
      <c r="J104" s="5">
        <v>45861.304710648146</v>
      </c>
      <c r="K104" s="6" t="s">
        <v>243</v>
      </c>
      <c r="L104" s="6" t="s">
        <v>20</v>
      </c>
      <c r="M104" s="5">
        <v>45861.304710648146</v>
      </c>
      <c r="N104" s="5" t="s">
        <v>134</v>
      </c>
      <c r="O104" s="45" t="str">
        <f>_xlfn.XLOOKUP(TAB.IDEIAS.TOTAL[[#This Row],[Enviado por]],'BASE DMOS'!A:A,'BASE DMOS'!C:C,"Não encontrado")</f>
        <v>OPERAÇÃO</v>
      </c>
    </row>
    <row r="105" spans="1:15" ht="203" x14ac:dyDescent="0.35">
      <c r="A105" s="6" t="s">
        <v>504</v>
      </c>
      <c r="B105" s="6" t="s">
        <v>505</v>
      </c>
      <c r="C105" s="6" t="s">
        <v>134</v>
      </c>
      <c r="D105" s="6" t="s">
        <v>506</v>
      </c>
      <c r="E105" s="6" t="s">
        <v>97</v>
      </c>
      <c r="F105" s="6" t="s">
        <v>17</v>
      </c>
      <c r="G105" s="6" t="s">
        <v>18</v>
      </c>
      <c r="H105" s="5">
        <v>45684.382430555554</v>
      </c>
      <c r="I105" s="6" t="s">
        <v>19</v>
      </c>
      <c r="J105" s="5">
        <v>45845.479178240741</v>
      </c>
      <c r="K105" s="6" t="s">
        <v>348</v>
      </c>
      <c r="L105" s="6" t="s">
        <v>20</v>
      </c>
      <c r="M105" s="5">
        <v>45845.479178240741</v>
      </c>
      <c r="N105" s="5" t="s">
        <v>134</v>
      </c>
      <c r="O105" s="45" t="str">
        <f>_xlfn.XLOOKUP(TAB.IDEIAS.TOTAL[[#This Row],[Enviado por]],'BASE DMOS'!A:A,'BASE DMOS'!C:C,"Não encontrado")</f>
        <v>ADM/TÉCNICO/ASSISTENTE/ESTAG.</v>
      </c>
    </row>
    <row r="106" spans="1:15" ht="130.5" x14ac:dyDescent="0.35">
      <c r="A106" s="6" t="s">
        <v>507</v>
      </c>
      <c r="B106" s="6" t="s">
        <v>508</v>
      </c>
      <c r="C106" s="6" t="s">
        <v>15</v>
      </c>
      <c r="D106" s="6" t="s">
        <v>509</v>
      </c>
      <c r="E106" s="6" t="s">
        <v>299</v>
      </c>
      <c r="F106" s="6" t="s">
        <v>17</v>
      </c>
      <c r="G106" s="6" t="s">
        <v>61</v>
      </c>
      <c r="H106" s="5">
        <v>45693.975891203707</v>
      </c>
      <c r="I106" s="6" t="s">
        <v>36</v>
      </c>
      <c r="J106" s="5">
        <v>45821.010092592594</v>
      </c>
      <c r="L106" s="6" t="s">
        <v>66</v>
      </c>
      <c r="M106" s="5">
        <v>45821.010092592594</v>
      </c>
      <c r="N106" s="5" t="s">
        <v>15</v>
      </c>
      <c r="O106" s="45" t="str">
        <f>_xlfn.XLOOKUP(TAB.IDEIAS.TOTAL[[#This Row],[Enviado por]],'BASE DMOS'!A:A,'BASE DMOS'!C:C,"Não encontrado")</f>
        <v>OPERAÇÃO</v>
      </c>
    </row>
    <row r="107" spans="1:15" ht="72.5" x14ac:dyDescent="0.35">
      <c r="A107" s="6" t="s">
        <v>510</v>
      </c>
      <c r="B107" s="6" t="s">
        <v>511</v>
      </c>
      <c r="C107" s="6" t="s">
        <v>134</v>
      </c>
      <c r="D107" s="6" t="s">
        <v>512</v>
      </c>
      <c r="E107" s="6" t="s">
        <v>197</v>
      </c>
      <c r="F107" s="6" t="s">
        <v>17</v>
      </c>
      <c r="G107" s="6" t="s">
        <v>18</v>
      </c>
      <c r="H107" s="5">
        <v>45698.474861111114</v>
      </c>
      <c r="I107" s="6" t="s">
        <v>25</v>
      </c>
      <c r="J107" s="5">
        <v>45960.596516203703</v>
      </c>
      <c r="K107" s="6" t="s">
        <v>348</v>
      </c>
      <c r="L107" s="6" t="s">
        <v>26</v>
      </c>
      <c r="M107" s="5">
        <v>45960.596516203703</v>
      </c>
      <c r="N107" s="5" t="s">
        <v>134</v>
      </c>
      <c r="O107" s="45" t="str">
        <f>_xlfn.XLOOKUP(TAB.IDEIAS.TOTAL[[#This Row],[Enviado por]],'BASE DMOS'!A:A,'BASE DMOS'!C:C,"Não encontrado")</f>
        <v>OPERAÇÃO</v>
      </c>
    </row>
    <row r="108" spans="1:15" ht="58" x14ac:dyDescent="0.35">
      <c r="A108" s="6" t="s">
        <v>513</v>
      </c>
      <c r="B108" s="6" t="s">
        <v>514</v>
      </c>
      <c r="C108" s="6" t="s">
        <v>134</v>
      </c>
      <c r="D108" s="6" t="s">
        <v>515</v>
      </c>
      <c r="E108" s="6" t="s">
        <v>145</v>
      </c>
      <c r="F108" s="6" t="s">
        <v>17</v>
      </c>
      <c r="G108" s="6" t="s">
        <v>18</v>
      </c>
      <c r="H108" s="5">
        <v>45698.523043981484</v>
      </c>
      <c r="I108" s="6" t="s">
        <v>25</v>
      </c>
      <c r="J108" s="5">
        <v>45721.649502314816</v>
      </c>
      <c r="K108" s="6" t="s">
        <v>58</v>
      </c>
      <c r="L108" s="6" t="s">
        <v>26</v>
      </c>
      <c r="M108" s="5">
        <v>45721.649502314816</v>
      </c>
      <c r="N108" s="5" t="s">
        <v>134</v>
      </c>
      <c r="O108" s="45" t="str">
        <f>_xlfn.XLOOKUP(TAB.IDEIAS.TOTAL[[#This Row],[Enviado por]],'BASE DMOS'!A:A,'BASE DMOS'!C:C,"Não encontrado")</f>
        <v>OPERAÇÃO</v>
      </c>
    </row>
    <row r="109" spans="1:15" ht="275.5" x14ac:dyDescent="0.35">
      <c r="A109" s="6" t="s">
        <v>516</v>
      </c>
      <c r="B109" s="6" t="s">
        <v>517</v>
      </c>
      <c r="C109" s="6" t="s">
        <v>148</v>
      </c>
      <c r="D109" s="6" t="s">
        <v>518</v>
      </c>
      <c r="E109" s="6" t="s">
        <v>108</v>
      </c>
      <c r="F109" s="6" t="s">
        <v>17</v>
      </c>
      <c r="G109" s="6" t="s">
        <v>61</v>
      </c>
      <c r="H109" s="5">
        <v>45698.624386574076</v>
      </c>
      <c r="I109" s="6" t="s">
        <v>98</v>
      </c>
      <c r="J109" s="5">
        <v>46217.44017361111</v>
      </c>
      <c r="K109" s="6" t="s">
        <v>243</v>
      </c>
      <c r="L109" s="6" t="s">
        <v>66</v>
      </c>
      <c r="M109" s="5"/>
      <c r="N109" s="5" t="s">
        <v>148</v>
      </c>
      <c r="O109" s="45" t="str">
        <f>_xlfn.XLOOKUP(TAB.IDEIAS.TOTAL[[#This Row],[Enviado por]],'BASE DMOS'!A:A,'BASE DMOS'!C:C,"Não encontrado")</f>
        <v>ADM/TÉCNICO/ASSISTENTE/ESTAG.</v>
      </c>
    </row>
    <row r="110" spans="1:15" ht="145" x14ac:dyDescent="0.35">
      <c r="A110" s="6" t="s">
        <v>519</v>
      </c>
      <c r="B110" s="6" t="s">
        <v>520</v>
      </c>
      <c r="C110" s="6" t="s">
        <v>134</v>
      </c>
      <c r="D110" s="6" t="s">
        <v>521</v>
      </c>
      <c r="E110" s="6" t="s">
        <v>252</v>
      </c>
      <c r="F110" s="6" t="s">
        <v>17</v>
      </c>
      <c r="G110" s="6" t="s">
        <v>24</v>
      </c>
      <c r="H110" s="5">
        <v>45706.586469907408</v>
      </c>
      <c r="I110" s="6" t="s">
        <v>19</v>
      </c>
      <c r="J110" s="5">
        <v>45861.349317129629</v>
      </c>
      <c r="K110" s="6" t="s">
        <v>445</v>
      </c>
      <c r="L110" s="6" t="s">
        <v>20</v>
      </c>
      <c r="M110" s="5">
        <v>45861.349317129629</v>
      </c>
      <c r="N110" s="5" t="s">
        <v>134</v>
      </c>
      <c r="O110" s="45" t="str">
        <f>_xlfn.XLOOKUP(TAB.IDEIAS.TOTAL[[#This Row],[Enviado por]],'BASE DMOS'!A:A,'BASE DMOS'!C:C,"Não encontrado")</f>
        <v>ADM/TÉCNICO/ASSISTENTE/ESTAG.</v>
      </c>
    </row>
    <row r="111" spans="1:15" ht="101.5" x14ac:dyDescent="0.35">
      <c r="A111" s="6" t="s">
        <v>522</v>
      </c>
      <c r="B111" s="6" t="s">
        <v>523</v>
      </c>
      <c r="C111" s="6" t="s">
        <v>148</v>
      </c>
      <c r="D111" s="6" t="s">
        <v>524</v>
      </c>
      <c r="F111" s="6" t="s">
        <v>17</v>
      </c>
      <c r="G111" s="6" t="s">
        <v>18</v>
      </c>
      <c r="H111" s="5">
        <v>45706.607372685183</v>
      </c>
      <c r="I111" s="6" t="s">
        <v>25</v>
      </c>
      <c r="J111" s="5">
        <v>45939.585868055554</v>
      </c>
      <c r="K111" s="6" t="s">
        <v>525</v>
      </c>
      <c r="L111" s="6" t="s">
        <v>26</v>
      </c>
      <c r="M111" s="5"/>
      <c r="N111" s="5" t="s">
        <v>148</v>
      </c>
      <c r="O111" s="45">
        <f>_xlfn.XLOOKUP(TAB.IDEIAS.TOTAL[[#This Row],[Enviado por]],'BASE DMOS'!A:A,'BASE DMOS'!C:C,"Não encontrado")</f>
        <v>0</v>
      </c>
    </row>
    <row r="112" spans="1:15" ht="130.5" x14ac:dyDescent="0.35">
      <c r="A112" s="6" t="s">
        <v>526</v>
      </c>
      <c r="B112" s="6" t="s">
        <v>527</v>
      </c>
      <c r="C112" s="6" t="s">
        <v>134</v>
      </c>
      <c r="D112" s="6" t="s">
        <v>528</v>
      </c>
      <c r="E112" s="6" t="s">
        <v>145</v>
      </c>
      <c r="F112" s="6" t="s">
        <v>17</v>
      </c>
      <c r="G112" s="6" t="s">
        <v>18</v>
      </c>
      <c r="H112" s="5">
        <v>45707.409097222226</v>
      </c>
      <c r="I112" s="6" t="s">
        <v>25</v>
      </c>
      <c r="J112" s="5">
        <v>45993.398668981485</v>
      </c>
      <c r="K112" s="6" t="s">
        <v>90</v>
      </c>
      <c r="L112" s="6" t="s">
        <v>26</v>
      </c>
      <c r="M112" s="5">
        <v>45993.398668981485</v>
      </c>
      <c r="N112" s="5" t="s">
        <v>134</v>
      </c>
      <c r="O112" s="45" t="str">
        <f>_xlfn.XLOOKUP(TAB.IDEIAS.TOTAL[[#This Row],[Enviado por]],'BASE DMOS'!A:A,'BASE DMOS'!C:C,"Não encontrado")</f>
        <v>OPERAÇÃO</v>
      </c>
    </row>
    <row r="113" spans="1:16" ht="58" x14ac:dyDescent="0.35">
      <c r="A113" s="6" t="s">
        <v>529</v>
      </c>
      <c r="B113" s="6" t="s">
        <v>530</v>
      </c>
      <c r="C113" s="6" t="s">
        <v>134</v>
      </c>
      <c r="D113" s="6" t="s">
        <v>531</v>
      </c>
      <c r="E113" s="6" t="s">
        <v>438</v>
      </c>
      <c r="F113" s="6" t="s">
        <v>17</v>
      </c>
      <c r="G113" s="6" t="s">
        <v>18</v>
      </c>
      <c r="H113" s="5">
        <v>45713.649409722224</v>
      </c>
      <c r="I113" s="6" t="s">
        <v>25</v>
      </c>
      <c r="J113" s="5">
        <v>45884.34746527778</v>
      </c>
      <c r="K113" s="6" t="s">
        <v>69</v>
      </c>
      <c r="L113" s="6" t="s">
        <v>26</v>
      </c>
      <c r="M113" s="5">
        <v>45884.34746527778</v>
      </c>
      <c r="N113" s="5" t="s">
        <v>134</v>
      </c>
      <c r="O113" s="45" t="str">
        <f>_xlfn.XLOOKUP(TAB.IDEIAS.TOTAL[[#This Row],[Enviado por]],'BASE DMOS'!A:A,'BASE DMOS'!C:C,"Não encontrado")</f>
        <v>OPERAÇÃO</v>
      </c>
    </row>
    <row r="114" spans="1:16" ht="101.5" x14ac:dyDescent="0.35">
      <c r="A114" s="6" t="s">
        <v>532</v>
      </c>
      <c r="B114" s="6" t="s">
        <v>533</v>
      </c>
      <c r="C114" s="6" t="s">
        <v>148</v>
      </c>
      <c r="D114" s="6" t="s">
        <v>534</v>
      </c>
      <c r="E114" s="6" t="s">
        <v>438</v>
      </c>
      <c r="F114" s="6" t="s">
        <v>17</v>
      </c>
      <c r="G114" s="6" t="s">
        <v>30</v>
      </c>
      <c r="H114" s="5">
        <v>45713.833495370367</v>
      </c>
      <c r="I114" s="6" t="s">
        <v>25</v>
      </c>
      <c r="J114" s="5">
        <v>46202.344282407408</v>
      </c>
      <c r="K114" s="6" t="s">
        <v>69</v>
      </c>
      <c r="L114" s="6" t="s">
        <v>66</v>
      </c>
      <c r="M114" s="5"/>
      <c r="N114" s="5" t="s">
        <v>148</v>
      </c>
      <c r="O114" s="45" t="str">
        <f>_xlfn.XLOOKUP(TAB.IDEIAS.TOTAL[[#This Row],[Enviado por]],'BASE DMOS'!A:A,'BASE DMOS'!C:C,"Não encontrado")</f>
        <v>OPERAÇÃO</v>
      </c>
    </row>
    <row r="115" spans="1:16" ht="29" x14ac:dyDescent="0.35">
      <c r="A115" s="6" t="s">
        <v>535</v>
      </c>
      <c r="B115" s="6" t="s">
        <v>536</v>
      </c>
      <c r="C115" s="6" t="s">
        <v>15</v>
      </c>
      <c r="D115" s="6" t="s">
        <v>537</v>
      </c>
      <c r="E115" s="6" t="s">
        <v>53</v>
      </c>
      <c r="F115" s="6" t="s">
        <v>17</v>
      </c>
      <c r="G115" s="6" t="s">
        <v>61</v>
      </c>
      <c r="H115" s="5">
        <v>45713.99664351852</v>
      </c>
      <c r="I115" s="6" t="s">
        <v>25</v>
      </c>
      <c r="J115" s="5">
        <v>45817.587731481479</v>
      </c>
      <c r="L115" s="6" t="s">
        <v>26</v>
      </c>
      <c r="M115" s="5">
        <v>45817.587731481479</v>
      </c>
      <c r="N115" s="5" t="s">
        <v>15</v>
      </c>
      <c r="O115" s="45" t="str">
        <f>_xlfn.XLOOKUP(TAB.IDEIAS.TOTAL[[#This Row],[Enviado por]],'BASE DMOS'!A:A,'BASE DMOS'!C:C,"Não encontrado")</f>
        <v>OPERAÇÃO</v>
      </c>
    </row>
    <row r="116" spans="1:16" ht="101.5" x14ac:dyDescent="0.35">
      <c r="A116" s="6" t="s">
        <v>67</v>
      </c>
      <c r="B116" s="6" t="s">
        <v>68</v>
      </c>
      <c r="C116" s="6" t="s">
        <v>148</v>
      </c>
      <c r="D116" s="6" t="s">
        <v>538</v>
      </c>
      <c r="F116" s="6" t="s">
        <v>17</v>
      </c>
      <c r="G116" s="6" t="s">
        <v>24</v>
      </c>
      <c r="H116" s="5">
        <v>45714.339594907404</v>
      </c>
      <c r="I116" s="6" t="s">
        <v>25</v>
      </c>
      <c r="J116" s="5">
        <v>46276.538043981483</v>
      </c>
      <c r="K116" s="6" t="s">
        <v>69</v>
      </c>
      <c r="L116" s="6" t="s">
        <v>66</v>
      </c>
      <c r="M116" s="5"/>
      <c r="N116" s="5" t="s">
        <v>148</v>
      </c>
      <c r="O116" s="45">
        <f>_xlfn.XLOOKUP(TAB.IDEIAS.TOTAL[[#This Row],[Enviado por]],'BASE DMOS'!A:A,'BASE DMOS'!C:C,"Não encontrado")</f>
        <v>0</v>
      </c>
      <c r="P116" t="s">
        <v>539</v>
      </c>
    </row>
    <row r="117" spans="1:16" ht="116" x14ac:dyDescent="0.35">
      <c r="A117" s="6" t="s">
        <v>540</v>
      </c>
      <c r="B117" s="6" t="s">
        <v>541</v>
      </c>
      <c r="C117" s="6" t="s">
        <v>15</v>
      </c>
      <c r="D117" s="6" t="s">
        <v>542</v>
      </c>
      <c r="E117" s="6" t="s">
        <v>35</v>
      </c>
      <c r="F117" s="6" t="s">
        <v>17</v>
      </c>
      <c r="G117" s="6" t="s">
        <v>24</v>
      </c>
      <c r="H117" s="5">
        <v>45716.610358796293</v>
      </c>
      <c r="I117" s="6" t="s">
        <v>25</v>
      </c>
      <c r="J117" s="5">
        <v>45793.467407407406</v>
      </c>
      <c r="L117" s="6" t="s">
        <v>26</v>
      </c>
      <c r="M117" s="5">
        <v>45793.467407407406</v>
      </c>
      <c r="N117" s="5" t="s">
        <v>15</v>
      </c>
      <c r="O117" s="45" t="str">
        <f>_xlfn.XLOOKUP(TAB.IDEIAS.TOTAL[[#This Row],[Enviado por]],'BASE DMOS'!A:A,'BASE DMOS'!C:C,"Não encontrado")</f>
        <v>OPERAÇÃO</v>
      </c>
    </row>
    <row r="118" spans="1:16" ht="43.5" x14ac:dyDescent="0.35">
      <c r="A118" s="6" t="s">
        <v>543</v>
      </c>
      <c r="B118" s="6" t="s">
        <v>544</v>
      </c>
      <c r="C118" s="6" t="s">
        <v>148</v>
      </c>
      <c r="D118" s="6" t="s">
        <v>545</v>
      </c>
      <c r="E118" s="6" t="s">
        <v>299</v>
      </c>
      <c r="F118" s="6" t="s">
        <v>17</v>
      </c>
      <c r="G118" s="6" t="s">
        <v>24</v>
      </c>
      <c r="H118" s="5">
        <v>45721.962372685186</v>
      </c>
      <c r="I118" s="6" t="s">
        <v>332</v>
      </c>
      <c r="J118" s="5">
        <v>45839.681215277778</v>
      </c>
      <c r="K118" s="6" t="s">
        <v>123</v>
      </c>
      <c r="L118" s="6" t="s">
        <v>66</v>
      </c>
      <c r="M118" s="5"/>
      <c r="N118" s="5" t="s">
        <v>148</v>
      </c>
      <c r="O118" s="45" t="str">
        <f>_xlfn.XLOOKUP(TAB.IDEIAS.TOTAL[[#This Row],[Enviado por]],'BASE DMOS'!A:A,'BASE DMOS'!C:C,"Não encontrado")</f>
        <v>OPERAÇÃO</v>
      </c>
    </row>
    <row r="119" spans="1:16" ht="72.5" x14ac:dyDescent="0.35">
      <c r="A119" s="6" t="s">
        <v>546</v>
      </c>
      <c r="B119" s="6" t="s">
        <v>547</v>
      </c>
      <c r="C119" s="6" t="s">
        <v>148</v>
      </c>
      <c r="D119" s="6" t="s">
        <v>548</v>
      </c>
      <c r="E119" s="6" t="s">
        <v>145</v>
      </c>
      <c r="F119" s="6" t="s">
        <v>17</v>
      </c>
      <c r="G119" s="6" t="s">
        <v>61</v>
      </c>
      <c r="H119" s="5">
        <v>45723.421168981484</v>
      </c>
      <c r="I119" s="6" t="s">
        <v>25</v>
      </c>
      <c r="J119" s="5">
        <v>46087.68236111111</v>
      </c>
      <c r="K119" s="6" t="s">
        <v>498</v>
      </c>
      <c r="L119" s="6" t="s">
        <v>26</v>
      </c>
      <c r="M119" s="5"/>
      <c r="N119" s="5" t="s">
        <v>148</v>
      </c>
      <c r="O119" s="45" t="str">
        <f>_xlfn.XLOOKUP(TAB.IDEIAS.TOTAL[[#This Row],[Enviado por]],'BASE DMOS'!A:A,'BASE DMOS'!C:C,"Não encontrado")</f>
        <v>OPERAÇÃO</v>
      </c>
    </row>
    <row r="120" spans="1:16" ht="101.5" x14ac:dyDescent="0.35">
      <c r="A120" s="6" t="s">
        <v>549</v>
      </c>
      <c r="B120" s="6" t="s">
        <v>550</v>
      </c>
      <c r="C120" s="6" t="s">
        <v>134</v>
      </c>
      <c r="D120" s="6" t="s">
        <v>551</v>
      </c>
      <c r="E120" s="6" t="s">
        <v>416</v>
      </c>
      <c r="F120" s="6" t="s">
        <v>17</v>
      </c>
      <c r="G120" s="6" t="s">
        <v>61</v>
      </c>
      <c r="H120" s="5">
        <v>45731.538888888892</v>
      </c>
      <c r="I120" s="6" t="s">
        <v>332</v>
      </c>
      <c r="J120" s="5">
        <v>45960.413391203707</v>
      </c>
      <c r="K120" s="6" t="s">
        <v>58</v>
      </c>
      <c r="L120" s="6" t="s">
        <v>66</v>
      </c>
      <c r="M120" s="5">
        <v>45733.409548611111</v>
      </c>
      <c r="N120" s="5" t="s">
        <v>134</v>
      </c>
      <c r="O120" s="45" t="str">
        <f>_xlfn.XLOOKUP(TAB.IDEIAS.TOTAL[[#This Row],[Enviado por]],'BASE DMOS'!A:A,'BASE DMOS'!C:C,"Não encontrado")</f>
        <v>OPERAÇÃO</v>
      </c>
    </row>
    <row r="121" spans="1:16" ht="116" x14ac:dyDescent="0.35">
      <c r="A121" s="6" t="s">
        <v>552</v>
      </c>
      <c r="B121" s="6" t="s">
        <v>553</v>
      </c>
      <c r="C121" s="6" t="s">
        <v>134</v>
      </c>
      <c r="D121" s="6" t="s">
        <v>554</v>
      </c>
      <c r="E121" s="6" t="s">
        <v>252</v>
      </c>
      <c r="F121" s="6" t="s">
        <v>17</v>
      </c>
      <c r="G121" s="6" t="s">
        <v>18</v>
      </c>
      <c r="H121" s="5">
        <v>45735.503240740742</v>
      </c>
      <c r="I121" s="6" t="s">
        <v>25</v>
      </c>
      <c r="J121" s="5">
        <v>45946.568796296298</v>
      </c>
      <c r="K121" s="6" t="s">
        <v>555</v>
      </c>
      <c r="L121" s="6" t="s">
        <v>26</v>
      </c>
      <c r="M121" s="5">
        <v>45946.568796296298</v>
      </c>
      <c r="N121" s="5" t="s">
        <v>134</v>
      </c>
      <c r="O121" s="45" t="str">
        <f>_xlfn.XLOOKUP(TAB.IDEIAS.TOTAL[[#This Row],[Enviado por]],'BASE DMOS'!A:A,'BASE DMOS'!C:C,"Não encontrado")</f>
        <v>ADM/TÉCNICO/ASSISTENTE/ESTAG.</v>
      </c>
    </row>
    <row r="122" spans="1:16" ht="29" x14ac:dyDescent="0.35">
      <c r="A122" s="6" t="s">
        <v>556</v>
      </c>
      <c r="B122" s="6" t="s">
        <v>557</v>
      </c>
      <c r="C122" s="6" t="s">
        <v>184</v>
      </c>
      <c r="D122" s="6" t="s">
        <v>558</v>
      </c>
      <c r="E122" s="6" t="s">
        <v>29</v>
      </c>
      <c r="F122" s="6" t="s">
        <v>17</v>
      </c>
      <c r="G122" s="6" t="s">
        <v>30</v>
      </c>
      <c r="H122" s="5">
        <v>45740.391018518516</v>
      </c>
      <c r="I122" s="6" t="s">
        <v>36</v>
      </c>
      <c r="J122" s="5">
        <v>45772.470995370371</v>
      </c>
      <c r="K122" s="6" t="s">
        <v>247</v>
      </c>
      <c r="L122" s="6" t="s">
        <v>66</v>
      </c>
      <c r="M122" s="5"/>
      <c r="N122" s="14" t="s">
        <v>215</v>
      </c>
      <c r="O122" s="45" t="str">
        <f>_xlfn.XLOOKUP(TAB.IDEIAS.TOTAL[[#This Row],[Enviado por]],'BASE DMOS'!A:A,'BASE DMOS'!C:C,"Não encontrado")</f>
        <v>ADM/TÉCNICO/ASSISTENTE/ESTAG.</v>
      </c>
    </row>
    <row r="123" spans="1:16" ht="116" x14ac:dyDescent="0.35">
      <c r="A123" s="6" t="s">
        <v>559</v>
      </c>
      <c r="B123" s="6" t="s">
        <v>560</v>
      </c>
      <c r="C123" s="6" t="s">
        <v>134</v>
      </c>
      <c r="D123" s="6" t="s">
        <v>561</v>
      </c>
      <c r="E123" s="6" t="s">
        <v>562</v>
      </c>
      <c r="F123" s="6" t="s">
        <v>17</v>
      </c>
      <c r="G123" s="6" t="s">
        <v>24</v>
      </c>
      <c r="H123" s="5">
        <v>45740.43377314815</v>
      </c>
      <c r="I123" s="6" t="s">
        <v>227</v>
      </c>
      <c r="J123" s="5">
        <v>45827.450358796297</v>
      </c>
      <c r="K123" s="6" t="s">
        <v>337</v>
      </c>
      <c r="L123" s="6" t="s">
        <v>228</v>
      </c>
      <c r="M123" s="5">
        <v>45827.450358796297</v>
      </c>
      <c r="N123" s="5" t="s">
        <v>134</v>
      </c>
      <c r="O123" s="45" t="str">
        <f>_xlfn.XLOOKUP(TAB.IDEIAS.TOTAL[[#This Row],[Enviado por]],'BASE DMOS'!A:A,'BASE DMOS'!C:C,"Não encontrado")</f>
        <v>OPERAÇÃO</v>
      </c>
    </row>
    <row r="124" spans="1:16" ht="87" x14ac:dyDescent="0.35">
      <c r="A124" s="6" t="s">
        <v>106</v>
      </c>
      <c r="B124" s="6" t="s">
        <v>107</v>
      </c>
      <c r="C124" s="6" t="s">
        <v>134</v>
      </c>
      <c r="D124" s="6" t="s">
        <v>563</v>
      </c>
      <c r="E124" s="6" t="s">
        <v>108</v>
      </c>
      <c r="F124" s="6" t="s">
        <v>17</v>
      </c>
      <c r="G124" s="6" t="s">
        <v>61</v>
      </c>
      <c r="H124" s="5">
        <v>45740.635949074072</v>
      </c>
      <c r="I124" s="6" t="s">
        <v>19</v>
      </c>
      <c r="J124" s="5">
        <v>46170.510034722225</v>
      </c>
      <c r="K124" s="6" t="s">
        <v>109</v>
      </c>
      <c r="L124" s="6" t="s">
        <v>20</v>
      </c>
      <c r="M124" s="5">
        <v>46170.510034722225</v>
      </c>
      <c r="N124" s="5" t="s">
        <v>134</v>
      </c>
      <c r="O124" s="45" t="str">
        <f>_xlfn.XLOOKUP(TAB.IDEIAS.TOTAL[[#This Row],[Enviado por]],'BASE DMOS'!A:A,'BASE DMOS'!C:C,"Não encontrado")</f>
        <v>ADM/TÉCNICO/ASSISTENTE/ESTAG.</v>
      </c>
    </row>
    <row r="125" spans="1:16" ht="58" x14ac:dyDescent="0.35">
      <c r="A125" s="6" t="s">
        <v>21</v>
      </c>
      <c r="B125" s="6" t="s">
        <v>22</v>
      </c>
      <c r="C125" s="6" t="s">
        <v>134</v>
      </c>
      <c r="D125" s="6" t="s">
        <v>564</v>
      </c>
      <c r="E125" s="6" t="s">
        <v>23</v>
      </c>
      <c r="F125" s="6" t="s">
        <v>17</v>
      </c>
      <c r="G125" s="6" t="s">
        <v>24</v>
      </c>
      <c r="H125" s="5">
        <v>45747.209050925929</v>
      </c>
      <c r="I125" s="6" t="s">
        <v>25</v>
      </c>
      <c r="J125" s="5">
        <v>45861.470995370371</v>
      </c>
      <c r="K125" s="6" t="s">
        <v>391</v>
      </c>
      <c r="L125" s="6" t="s">
        <v>26</v>
      </c>
      <c r="M125" s="5">
        <v>45861.470995370371</v>
      </c>
      <c r="N125" s="5" t="s">
        <v>134</v>
      </c>
      <c r="O125" s="45" t="str">
        <f>_xlfn.XLOOKUP(TAB.IDEIAS.TOTAL[[#This Row],[Enviado por]],'BASE DMOS'!A:A,'BASE DMOS'!C:C,"Não encontrado")</f>
        <v>OPERAÇÃO</v>
      </c>
    </row>
    <row r="126" spans="1:16" ht="130.5" x14ac:dyDescent="0.35">
      <c r="A126" s="6" t="s">
        <v>565</v>
      </c>
      <c r="B126" s="6" t="s">
        <v>566</v>
      </c>
      <c r="C126" s="6" t="s">
        <v>184</v>
      </c>
      <c r="D126" s="6" t="s">
        <v>567</v>
      </c>
      <c r="E126" s="6" t="s">
        <v>416</v>
      </c>
      <c r="F126" s="6" t="s">
        <v>17</v>
      </c>
      <c r="G126" s="6" t="s">
        <v>24</v>
      </c>
      <c r="H126" s="5">
        <v>45747.378645833334</v>
      </c>
      <c r="I126" s="6" t="s">
        <v>25</v>
      </c>
      <c r="J126" s="5">
        <v>46154.588576388887</v>
      </c>
      <c r="K126" s="6" t="s">
        <v>151</v>
      </c>
      <c r="L126" s="6" t="s">
        <v>26</v>
      </c>
      <c r="M126" s="5"/>
      <c r="N126" s="43" t="s">
        <v>186</v>
      </c>
      <c r="O126" s="45" t="str">
        <f>_xlfn.XLOOKUP(TAB.IDEIAS.TOTAL[[#This Row],[Enviado por]],'BASE DMOS'!A:A,'BASE DMOS'!C:C,"Não encontrado")</f>
        <v>OPERAÇÃO</v>
      </c>
    </row>
    <row r="127" spans="1:16" ht="29" x14ac:dyDescent="0.35">
      <c r="A127" s="6" t="s">
        <v>568</v>
      </c>
      <c r="B127" s="6" t="s">
        <v>569</v>
      </c>
      <c r="C127" s="6" t="s">
        <v>134</v>
      </c>
      <c r="D127" s="6" t="s">
        <v>570</v>
      </c>
      <c r="E127" s="6" t="s">
        <v>571</v>
      </c>
      <c r="F127" s="6" t="s">
        <v>17</v>
      </c>
      <c r="G127" s="6" t="s">
        <v>30</v>
      </c>
      <c r="H127" s="5">
        <v>45749.194826388892</v>
      </c>
      <c r="I127" s="6" t="s">
        <v>174</v>
      </c>
      <c r="J127" s="5">
        <v>46009.419074074074</v>
      </c>
      <c r="K127" s="6" t="s">
        <v>105</v>
      </c>
      <c r="L127" s="6" t="s">
        <v>66</v>
      </c>
      <c r="M127" s="5">
        <v>46009.419074074074</v>
      </c>
      <c r="N127" s="5" t="s">
        <v>134</v>
      </c>
      <c r="O127" s="45" t="str">
        <f>_xlfn.XLOOKUP(TAB.IDEIAS.TOTAL[[#This Row],[Enviado por]],'BASE DMOS'!A:A,'BASE DMOS'!C:C,"Não encontrado")</f>
        <v>OPERAÇÃO</v>
      </c>
    </row>
    <row r="128" spans="1:16" ht="29" x14ac:dyDescent="0.35">
      <c r="A128" s="6" t="s">
        <v>572</v>
      </c>
      <c r="B128" s="6" t="s">
        <v>573</v>
      </c>
      <c r="C128" s="6" t="s">
        <v>15</v>
      </c>
      <c r="D128" s="6" t="s">
        <v>574</v>
      </c>
      <c r="F128" s="6" t="s">
        <v>17</v>
      </c>
      <c r="G128" s="6" t="s">
        <v>61</v>
      </c>
      <c r="H128" s="5">
        <v>45750.352638888886</v>
      </c>
      <c r="I128" s="6" t="s">
        <v>575</v>
      </c>
      <c r="J128" s="5">
        <v>45811.450752314813</v>
      </c>
      <c r="L128" s="6" t="s">
        <v>32</v>
      </c>
      <c r="M128" s="5">
        <v>45811.450752314813</v>
      </c>
      <c r="N128" s="5" t="s">
        <v>15</v>
      </c>
      <c r="O128" s="45">
        <f>_xlfn.XLOOKUP(TAB.IDEIAS.TOTAL[[#This Row],[Enviado por]],'BASE DMOS'!A:A,'BASE DMOS'!C:C,"Não encontrado")</f>
        <v>0</v>
      </c>
    </row>
    <row r="129" spans="1:15" ht="188.5" x14ac:dyDescent="0.35">
      <c r="A129" s="6" t="s">
        <v>27</v>
      </c>
      <c r="B129" s="6" t="s">
        <v>28</v>
      </c>
      <c r="C129" s="6" t="s">
        <v>148</v>
      </c>
      <c r="D129" s="6" t="s">
        <v>576</v>
      </c>
      <c r="E129" s="6" t="s">
        <v>29</v>
      </c>
      <c r="F129" s="6" t="s">
        <v>17</v>
      </c>
      <c r="G129" s="6" t="s">
        <v>30</v>
      </c>
      <c r="H129" s="5">
        <v>45750.479768518519</v>
      </c>
      <c r="I129" s="6" t="s">
        <v>31</v>
      </c>
      <c r="J129" s="5">
        <v>45959.386817129627</v>
      </c>
      <c r="K129" s="6" t="s">
        <v>29</v>
      </c>
      <c r="L129" s="6" t="s">
        <v>32</v>
      </c>
      <c r="M129" s="5"/>
      <c r="N129" s="5" t="s">
        <v>148</v>
      </c>
      <c r="O129" s="45" t="str">
        <f>_xlfn.XLOOKUP(TAB.IDEIAS.TOTAL[[#This Row],[Enviado por]],'BASE DMOS'!A:A,'BASE DMOS'!C:C,"Não encontrado")</f>
        <v>ADM/TÉCNICO/ASSISTENTE/ESTAG.</v>
      </c>
    </row>
    <row r="130" spans="1:15" ht="58" x14ac:dyDescent="0.35">
      <c r="A130" s="6" t="s">
        <v>577</v>
      </c>
      <c r="B130" s="6" t="s">
        <v>578</v>
      </c>
      <c r="C130" s="6" t="s">
        <v>134</v>
      </c>
      <c r="D130" s="6" t="s">
        <v>579</v>
      </c>
      <c r="E130" s="6" t="s">
        <v>105</v>
      </c>
      <c r="F130" s="6" t="s">
        <v>17</v>
      </c>
      <c r="G130" s="6" t="s">
        <v>18</v>
      </c>
      <c r="H130" s="5">
        <v>45750.998842592591</v>
      </c>
      <c r="I130" s="6" t="s">
        <v>50</v>
      </c>
      <c r="J130" s="5">
        <v>45846.366226851853</v>
      </c>
      <c r="L130" s="6" t="s">
        <v>66</v>
      </c>
      <c r="M130" s="5">
        <v>45846.366226851853</v>
      </c>
      <c r="N130" s="5" t="s">
        <v>134</v>
      </c>
      <c r="O130" s="45" t="str">
        <f>_xlfn.XLOOKUP(TAB.IDEIAS.TOTAL[[#This Row],[Enviado por]],'BASE DMOS'!A:A,'BASE DMOS'!C:C,"Não encontrado")</f>
        <v>ADM/TÉCNICO/ASSISTENTE/ESTAG.</v>
      </c>
    </row>
    <row r="131" spans="1:15" ht="29" x14ac:dyDescent="0.35">
      <c r="A131" s="6" t="s">
        <v>580</v>
      </c>
      <c r="B131" s="6" t="s">
        <v>581</v>
      </c>
      <c r="C131" s="6" t="s">
        <v>134</v>
      </c>
      <c r="D131" s="6" t="s">
        <v>582</v>
      </c>
      <c r="E131" s="6" t="s">
        <v>105</v>
      </c>
      <c r="F131" s="6" t="s">
        <v>17</v>
      </c>
      <c r="G131" s="6" t="s">
        <v>18</v>
      </c>
      <c r="H131" s="5">
        <v>45752.153333333335</v>
      </c>
      <c r="I131" s="6" t="s">
        <v>25</v>
      </c>
      <c r="J131" s="5">
        <v>45846.368518518517</v>
      </c>
      <c r="K131" s="6" t="s">
        <v>105</v>
      </c>
      <c r="L131" s="6" t="s">
        <v>26</v>
      </c>
      <c r="M131" s="5">
        <v>45846.368518518517</v>
      </c>
      <c r="N131" s="5" t="s">
        <v>134</v>
      </c>
      <c r="O131" s="45" t="str">
        <f>_xlfn.XLOOKUP(TAB.IDEIAS.TOTAL[[#This Row],[Enviado por]],'BASE DMOS'!A:A,'BASE DMOS'!C:C,"Não encontrado")</f>
        <v>ADM/TÉCNICO/ASSISTENTE/ESTAG.</v>
      </c>
    </row>
    <row r="132" spans="1:15" ht="43.5" x14ac:dyDescent="0.35">
      <c r="A132" s="6" t="s">
        <v>583</v>
      </c>
      <c r="B132" s="6" t="s">
        <v>584</v>
      </c>
      <c r="C132" s="6" t="s">
        <v>134</v>
      </c>
      <c r="D132" s="6" t="s">
        <v>585</v>
      </c>
      <c r="F132" s="6" t="s">
        <v>17</v>
      </c>
      <c r="G132" s="6" t="s">
        <v>24</v>
      </c>
      <c r="H132" s="5">
        <v>45752.278449074074</v>
      </c>
      <c r="I132" s="6" t="s">
        <v>204</v>
      </c>
      <c r="J132" s="5">
        <v>45752.279317129629</v>
      </c>
      <c r="K132" s="6" t="s">
        <v>85</v>
      </c>
      <c r="L132" s="6" t="s">
        <v>163</v>
      </c>
      <c r="M132" s="5">
        <v>45752.279317129629</v>
      </c>
      <c r="N132" s="5" t="s">
        <v>134</v>
      </c>
      <c r="O132" s="45">
        <f>_xlfn.XLOOKUP(TAB.IDEIAS.TOTAL[[#This Row],[Enviado por]],'BASE DMOS'!A:A,'BASE DMOS'!C:C,"Não encontrado")</f>
        <v>0</v>
      </c>
    </row>
    <row r="133" spans="1:15" ht="130.5" x14ac:dyDescent="0.35">
      <c r="A133" s="6" t="s">
        <v>586</v>
      </c>
      <c r="B133" s="6" t="s">
        <v>587</v>
      </c>
      <c r="C133" s="6" t="s">
        <v>134</v>
      </c>
      <c r="D133" s="6" t="s">
        <v>588</v>
      </c>
      <c r="E133" s="6" t="s">
        <v>97</v>
      </c>
      <c r="F133" s="6" t="s">
        <v>17</v>
      </c>
      <c r="G133" s="6" t="s">
        <v>61</v>
      </c>
      <c r="H133" s="5">
        <v>45756.642361111109</v>
      </c>
      <c r="I133" s="6" t="s">
        <v>19</v>
      </c>
      <c r="J133" s="5">
        <v>45824.461122685185</v>
      </c>
      <c r="K133" s="6" t="s">
        <v>29</v>
      </c>
      <c r="L133" s="6" t="s">
        <v>20</v>
      </c>
      <c r="M133" s="5">
        <v>45824.461122685185</v>
      </c>
      <c r="N133" s="5" t="s">
        <v>134</v>
      </c>
      <c r="O133" s="45" t="str">
        <f>_xlfn.XLOOKUP(TAB.IDEIAS.TOTAL[[#This Row],[Enviado por]],'BASE DMOS'!A:A,'BASE DMOS'!C:C,"Não encontrado")</f>
        <v>ADM/TÉCNICO/ASSISTENTE/ESTAG.</v>
      </c>
    </row>
    <row r="134" spans="1:15" ht="43.5" x14ac:dyDescent="0.35">
      <c r="A134" s="6" t="s">
        <v>79</v>
      </c>
      <c r="B134" s="6" t="s">
        <v>80</v>
      </c>
      <c r="C134" s="6" t="s">
        <v>148</v>
      </c>
      <c r="D134" s="6" t="s">
        <v>589</v>
      </c>
      <c r="E134" s="6" t="s">
        <v>81</v>
      </c>
      <c r="F134" s="6" t="s">
        <v>17</v>
      </c>
      <c r="G134" s="6" t="s">
        <v>61</v>
      </c>
      <c r="H134" s="5">
        <v>45756.750011574077</v>
      </c>
      <c r="I134" s="6" t="s">
        <v>31</v>
      </c>
      <c r="J134" s="5">
        <v>46188.572824074072</v>
      </c>
      <c r="K134" s="6" t="s">
        <v>82</v>
      </c>
      <c r="L134" s="6" t="s">
        <v>32</v>
      </c>
      <c r="M134" s="5"/>
      <c r="N134" s="5" t="s">
        <v>148</v>
      </c>
      <c r="O134" s="45" t="str">
        <f>_xlfn.XLOOKUP(TAB.IDEIAS.TOTAL[[#This Row],[Enviado por]],'BASE DMOS'!A:A,'BASE DMOS'!C:C,"Não encontrado")</f>
        <v>OPERAÇÃO</v>
      </c>
    </row>
    <row r="135" spans="1:15" ht="58" x14ac:dyDescent="0.35">
      <c r="A135" s="6" t="s">
        <v>590</v>
      </c>
      <c r="B135" s="6" t="s">
        <v>591</v>
      </c>
      <c r="C135" s="6" t="s">
        <v>134</v>
      </c>
      <c r="D135" s="6" t="s">
        <v>592</v>
      </c>
      <c r="E135" s="6" t="s">
        <v>145</v>
      </c>
      <c r="F135" s="6" t="s">
        <v>17</v>
      </c>
      <c r="G135" s="6" t="s">
        <v>61</v>
      </c>
      <c r="H135" s="5">
        <v>45759.636354166665</v>
      </c>
      <c r="I135" s="6" t="s">
        <v>25</v>
      </c>
      <c r="J135" s="5">
        <v>46009.420740740738</v>
      </c>
      <c r="K135" s="6" t="s">
        <v>105</v>
      </c>
      <c r="L135" s="6" t="s">
        <v>26</v>
      </c>
      <c r="M135" s="5">
        <v>46009.420740740738</v>
      </c>
      <c r="N135" s="5" t="s">
        <v>134</v>
      </c>
      <c r="O135" s="45" t="str">
        <f>_xlfn.XLOOKUP(TAB.IDEIAS.TOTAL[[#This Row],[Enviado por]],'BASE DMOS'!A:A,'BASE DMOS'!C:C,"Não encontrado")</f>
        <v>OPERAÇÃO</v>
      </c>
    </row>
    <row r="136" spans="1:15" ht="43.5" x14ac:dyDescent="0.35">
      <c r="A136" s="6" t="s">
        <v>593</v>
      </c>
      <c r="B136" s="6" t="s">
        <v>594</v>
      </c>
      <c r="C136" s="6" t="s">
        <v>15</v>
      </c>
      <c r="D136" s="6" t="s">
        <v>595</v>
      </c>
      <c r="E136" s="6" t="s">
        <v>53</v>
      </c>
      <c r="F136" s="6" t="s">
        <v>17</v>
      </c>
      <c r="G136" s="6" t="s">
        <v>18</v>
      </c>
      <c r="H136" s="5">
        <v>45761.020474537036</v>
      </c>
      <c r="I136" s="6" t="s">
        <v>174</v>
      </c>
      <c r="J136" s="5">
        <v>45821.194814814815</v>
      </c>
      <c r="K136" s="6" t="s">
        <v>555</v>
      </c>
      <c r="L136" s="6" t="s">
        <v>66</v>
      </c>
      <c r="M136" s="5">
        <v>45821.194814814815</v>
      </c>
      <c r="N136" s="5" t="s">
        <v>15</v>
      </c>
      <c r="O136" s="45" t="str">
        <f>_xlfn.XLOOKUP(TAB.IDEIAS.TOTAL[[#This Row],[Enviado por]],'BASE DMOS'!A:A,'BASE DMOS'!C:C,"Não encontrado")</f>
        <v>OPERAÇÃO</v>
      </c>
    </row>
    <row r="137" spans="1:15" ht="72.5" x14ac:dyDescent="0.35">
      <c r="A137" s="6" t="s">
        <v>596</v>
      </c>
      <c r="B137" s="6" t="s">
        <v>597</v>
      </c>
      <c r="C137" s="6" t="s">
        <v>184</v>
      </c>
      <c r="D137" s="6" t="s">
        <v>598</v>
      </c>
      <c r="E137" s="6" t="s">
        <v>90</v>
      </c>
      <c r="F137" s="6" t="s">
        <v>17</v>
      </c>
      <c r="G137" s="6" t="s">
        <v>18</v>
      </c>
      <c r="H137" s="5">
        <v>45762.577384259261</v>
      </c>
      <c r="I137" s="6" t="s">
        <v>50</v>
      </c>
      <c r="J137" s="5">
        <v>45769.617685185185</v>
      </c>
      <c r="K137" s="6" t="s">
        <v>123</v>
      </c>
      <c r="L137" s="6" t="s">
        <v>66</v>
      </c>
      <c r="M137" s="5"/>
      <c r="N137" s="14" t="s">
        <v>374</v>
      </c>
      <c r="O137" s="45" t="str">
        <f>_xlfn.XLOOKUP(TAB.IDEIAS.TOTAL[[#This Row],[Enviado por]],'BASE DMOS'!A:A,'BASE DMOS'!C:C,"Não encontrado")</f>
        <v>OPERAÇÃO</v>
      </c>
    </row>
    <row r="138" spans="1:15" ht="58" x14ac:dyDescent="0.35">
      <c r="A138" s="6" t="s">
        <v>599</v>
      </c>
      <c r="B138" s="6" t="s">
        <v>600</v>
      </c>
      <c r="C138" s="6" t="s">
        <v>134</v>
      </c>
      <c r="D138" s="6" t="s">
        <v>601</v>
      </c>
      <c r="E138" s="6" t="s">
        <v>81</v>
      </c>
      <c r="F138" s="6" t="s">
        <v>17</v>
      </c>
      <c r="G138" s="6" t="s">
        <v>602</v>
      </c>
      <c r="H138" s="5">
        <v>45763.921863425923</v>
      </c>
      <c r="I138" s="6" t="s">
        <v>31</v>
      </c>
      <c r="J138" s="5">
        <v>46036.637395833335</v>
      </c>
      <c r="K138" s="6" t="s">
        <v>348</v>
      </c>
      <c r="L138" s="6" t="s">
        <v>32</v>
      </c>
      <c r="M138" s="5">
        <v>46036.637395833335</v>
      </c>
      <c r="N138" s="5" t="s">
        <v>134</v>
      </c>
      <c r="O138" s="45" t="str">
        <f>_xlfn.XLOOKUP(TAB.IDEIAS.TOTAL[[#This Row],[Enviado por]],'BASE DMOS'!A:A,'BASE DMOS'!C:C,"Não encontrado")</f>
        <v>OPERAÇÃO</v>
      </c>
    </row>
    <row r="139" spans="1:15" ht="72.5" x14ac:dyDescent="0.35">
      <c r="A139" s="6" t="s">
        <v>603</v>
      </c>
      <c r="B139" s="6" t="s">
        <v>604</v>
      </c>
      <c r="C139" s="6" t="s">
        <v>134</v>
      </c>
      <c r="D139" s="6" t="s">
        <v>605</v>
      </c>
      <c r="E139" s="6" t="s">
        <v>145</v>
      </c>
      <c r="F139" s="6" t="s">
        <v>17</v>
      </c>
      <c r="G139" s="6" t="s">
        <v>61</v>
      </c>
      <c r="H139" s="5">
        <v>45771.344594907408</v>
      </c>
      <c r="I139" s="6" t="s">
        <v>25</v>
      </c>
      <c r="J139" s="5">
        <v>45839.431469907409</v>
      </c>
      <c r="K139" s="6" t="s">
        <v>90</v>
      </c>
      <c r="L139" s="6" t="s">
        <v>26</v>
      </c>
      <c r="M139" s="5">
        <v>45839.431469907409</v>
      </c>
      <c r="N139" s="5" t="s">
        <v>134</v>
      </c>
      <c r="O139" s="45" t="str">
        <f>_xlfn.XLOOKUP(TAB.IDEIAS.TOTAL[[#This Row],[Enviado por]],'BASE DMOS'!A:A,'BASE DMOS'!C:C,"Não encontrado")</f>
        <v>OPERAÇÃO</v>
      </c>
    </row>
    <row r="140" spans="1:15" ht="58" x14ac:dyDescent="0.35">
      <c r="A140" s="6" t="s">
        <v>606</v>
      </c>
      <c r="B140" s="6" t="s">
        <v>607</v>
      </c>
      <c r="C140" s="6" t="s">
        <v>184</v>
      </c>
      <c r="D140" s="6" t="s">
        <v>608</v>
      </c>
      <c r="E140" s="6" t="s">
        <v>108</v>
      </c>
      <c r="F140" s="6" t="s">
        <v>17</v>
      </c>
      <c r="G140" s="6" t="s">
        <v>61</v>
      </c>
      <c r="H140" s="5">
        <v>45771.380555555559</v>
      </c>
      <c r="I140" s="6" t="s">
        <v>98</v>
      </c>
      <c r="J140" s="5">
        <v>46206.452418981484</v>
      </c>
      <c r="K140" s="6" t="s">
        <v>108</v>
      </c>
      <c r="L140" s="6" t="s">
        <v>66</v>
      </c>
      <c r="M140" s="5"/>
      <c r="N140" s="43" t="s">
        <v>186</v>
      </c>
      <c r="O140" s="45" t="str">
        <f>_xlfn.XLOOKUP(TAB.IDEIAS.TOTAL[[#This Row],[Enviado por]],'BASE DMOS'!A:A,'BASE DMOS'!C:C,"Não encontrado")</f>
        <v>ADM/TÉCNICO/ASSISTENTE/ESTAG.</v>
      </c>
    </row>
    <row r="141" spans="1:15" ht="72.5" x14ac:dyDescent="0.35">
      <c r="A141" s="6" t="s">
        <v>609</v>
      </c>
      <c r="B141" s="6" t="s">
        <v>610</v>
      </c>
      <c r="C141" s="6" t="s">
        <v>148</v>
      </c>
      <c r="D141" s="6" t="s">
        <v>611</v>
      </c>
      <c r="E141" s="6" t="s">
        <v>612</v>
      </c>
      <c r="F141" s="6" t="s">
        <v>17</v>
      </c>
      <c r="G141" s="6" t="s">
        <v>61</v>
      </c>
      <c r="H141" s="5">
        <v>45771.762731481482</v>
      </c>
      <c r="I141" s="6" t="s">
        <v>25</v>
      </c>
      <c r="J141" s="5">
        <v>46265.432303240741</v>
      </c>
      <c r="K141" s="6" t="s">
        <v>78</v>
      </c>
      <c r="L141" s="6" t="s">
        <v>66</v>
      </c>
      <c r="M141" s="5"/>
      <c r="N141" s="5" t="s">
        <v>148</v>
      </c>
      <c r="O141" s="45" t="str">
        <f>_xlfn.XLOOKUP(TAB.IDEIAS.TOTAL[[#This Row],[Enviado por]],'BASE DMOS'!A:A,'BASE DMOS'!C:C,"Não encontrado")</f>
        <v>OPERAÇÃO</v>
      </c>
    </row>
    <row r="142" spans="1:15" ht="58" x14ac:dyDescent="0.35">
      <c r="A142" s="6" t="s">
        <v>613</v>
      </c>
      <c r="B142" s="6" t="s">
        <v>614</v>
      </c>
      <c r="C142" s="6" t="s">
        <v>134</v>
      </c>
      <c r="D142" s="6" t="s">
        <v>615</v>
      </c>
      <c r="F142" s="6" t="s">
        <v>17</v>
      </c>
      <c r="G142" s="6" t="s">
        <v>61</v>
      </c>
      <c r="H142" s="5">
        <v>45771.780856481484</v>
      </c>
      <c r="I142" s="6" t="s">
        <v>36</v>
      </c>
      <c r="J142" s="5">
        <v>45839.485543981478</v>
      </c>
      <c r="L142" s="6" t="s">
        <v>66</v>
      </c>
      <c r="M142" s="5">
        <v>45839.485543981478</v>
      </c>
      <c r="N142" s="5" t="s">
        <v>134</v>
      </c>
      <c r="O142" s="45">
        <f>_xlfn.XLOOKUP(TAB.IDEIAS.TOTAL[[#This Row],[Enviado por]],'BASE DMOS'!A:A,'BASE DMOS'!C:C,"Não encontrado")</f>
        <v>0</v>
      </c>
    </row>
    <row r="143" spans="1:15" ht="174" x14ac:dyDescent="0.35">
      <c r="A143" s="6" t="s">
        <v>616</v>
      </c>
      <c r="B143" s="6" t="s">
        <v>617</v>
      </c>
      <c r="C143" s="6" t="s">
        <v>134</v>
      </c>
      <c r="D143" s="6" t="s">
        <v>618</v>
      </c>
      <c r="E143" s="6" t="s">
        <v>140</v>
      </c>
      <c r="F143" s="6" t="s">
        <v>17</v>
      </c>
      <c r="G143" s="6" t="s">
        <v>18</v>
      </c>
      <c r="H143" s="5">
        <v>45772.308518518519</v>
      </c>
      <c r="I143" s="6" t="s">
        <v>174</v>
      </c>
      <c r="J143" s="5">
        <v>45839.404293981483</v>
      </c>
      <c r="K143" s="6" t="s">
        <v>130</v>
      </c>
      <c r="L143" s="6" t="s">
        <v>66</v>
      </c>
      <c r="M143" s="5">
        <v>45839.404293981483</v>
      </c>
      <c r="N143" s="5" t="s">
        <v>134</v>
      </c>
      <c r="O143" s="45" t="str">
        <f>_xlfn.XLOOKUP(TAB.IDEIAS.TOTAL[[#This Row],[Enviado por]],'BASE DMOS'!A:A,'BASE DMOS'!C:C,"Não encontrado")</f>
        <v>OPERAÇÃO</v>
      </c>
    </row>
    <row r="144" spans="1:15" ht="145" x14ac:dyDescent="0.35">
      <c r="A144" s="6" t="s">
        <v>619</v>
      </c>
      <c r="B144" s="6" t="s">
        <v>620</v>
      </c>
      <c r="C144" s="6" t="s">
        <v>184</v>
      </c>
      <c r="D144" s="6" t="s">
        <v>621</v>
      </c>
      <c r="E144" s="6" t="s">
        <v>622</v>
      </c>
      <c r="F144" s="6" t="s">
        <v>17</v>
      </c>
      <c r="G144" s="6" t="s">
        <v>61</v>
      </c>
      <c r="H144" s="5">
        <v>45772.344895833332</v>
      </c>
      <c r="I144" s="6" t="s">
        <v>36</v>
      </c>
      <c r="J144" s="5">
        <v>46276.544502314813</v>
      </c>
      <c r="K144" s="6" t="s">
        <v>117</v>
      </c>
      <c r="L144" s="6" t="s">
        <v>66</v>
      </c>
      <c r="M144" s="5"/>
      <c r="N144" s="14" t="s">
        <v>186</v>
      </c>
      <c r="O144" s="45" t="str">
        <f>_xlfn.XLOOKUP(TAB.IDEIAS.TOTAL[[#This Row],[Enviado por]],'BASE DMOS'!A:A,'BASE DMOS'!C:C,"Não encontrado")</f>
        <v>OPERAÇÃO</v>
      </c>
    </row>
    <row r="145" spans="1:16" ht="29" x14ac:dyDescent="0.35">
      <c r="A145" s="6" t="s">
        <v>623</v>
      </c>
      <c r="B145" s="6" t="s">
        <v>624</v>
      </c>
      <c r="C145" s="6" t="s">
        <v>134</v>
      </c>
      <c r="D145" s="6" t="s">
        <v>625</v>
      </c>
      <c r="E145" s="6" t="s">
        <v>622</v>
      </c>
      <c r="F145" s="6" t="s">
        <v>17</v>
      </c>
      <c r="G145" s="6" t="s">
        <v>24</v>
      </c>
      <c r="H145" s="5">
        <v>45772.41673611111</v>
      </c>
      <c r="I145" s="6" t="s">
        <v>25</v>
      </c>
      <c r="J145" s="5">
        <v>45960.378750000003</v>
      </c>
      <c r="K145" s="6" t="s">
        <v>555</v>
      </c>
      <c r="L145" s="6" t="s">
        <v>26</v>
      </c>
      <c r="M145" s="5">
        <v>45960.378750000003</v>
      </c>
      <c r="N145" s="5" t="s">
        <v>134</v>
      </c>
      <c r="O145" s="45" t="str">
        <f>_xlfn.XLOOKUP(TAB.IDEIAS.TOTAL[[#This Row],[Enviado por]],'BASE DMOS'!A:A,'BASE DMOS'!C:C,"Não encontrado")</f>
        <v>OPERAÇÃO</v>
      </c>
    </row>
    <row r="146" spans="1:16" ht="87" x14ac:dyDescent="0.35">
      <c r="A146" s="6" t="s">
        <v>626</v>
      </c>
      <c r="B146" s="6" t="s">
        <v>627</v>
      </c>
      <c r="C146" s="6" t="s">
        <v>134</v>
      </c>
      <c r="D146" s="6" t="s">
        <v>628</v>
      </c>
      <c r="E146" s="6" t="s">
        <v>629</v>
      </c>
      <c r="F146" s="6" t="s">
        <v>17</v>
      </c>
      <c r="G146" s="6" t="s">
        <v>18</v>
      </c>
      <c r="H146" s="5">
        <v>45773.156238425923</v>
      </c>
      <c r="I146" s="6" t="s">
        <v>204</v>
      </c>
      <c r="J146" s="5">
        <v>45905.477199074077</v>
      </c>
      <c r="K146" s="6" t="s">
        <v>247</v>
      </c>
      <c r="L146" s="6" t="s">
        <v>163</v>
      </c>
      <c r="M146" s="5">
        <v>45905.477199074077</v>
      </c>
      <c r="N146" s="5" t="s">
        <v>134</v>
      </c>
      <c r="O146" s="45" t="str">
        <f>_xlfn.XLOOKUP(TAB.IDEIAS.TOTAL[[#This Row],[Enviado por]],'BASE DMOS'!A:A,'BASE DMOS'!C:C,"Não encontrado")</f>
        <v>OPERAÇÃO</v>
      </c>
    </row>
    <row r="147" spans="1:16" ht="58" x14ac:dyDescent="0.35">
      <c r="A147" s="6" t="s">
        <v>33</v>
      </c>
      <c r="B147" s="6" t="s">
        <v>34</v>
      </c>
      <c r="C147" s="6" t="s">
        <v>148</v>
      </c>
      <c r="D147" s="6" t="s">
        <v>630</v>
      </c>
      <c r="E147" s="6" t="s">
        <v>35</v>
      </c>
      <c r="F147" s="6" t="s">
        <v>17</v>
      </c>
      <c r="G147" s="6" t="s">
        <v>24</v>
      </c>
      <c r="H147" s="5">
        <v>45773.689745370371</v>
      </c>
      <c r="I147" s="6" t="s">
        <v>36</v>
      </c>
      <c r="J147" s="5">
        <v>45959.473541666666</v>
      </c>
      <c r="K147" s="6" t="s">
        <v>78</v>
      </c>
      <c r="L147" s="6" t="s">
        <v>66</v>
      </c>
      <c r="M147" s="5"/>
      <c r="N147" s="5" t="s">
        <v>148</v>
      </c>
      <c r="O147" s="45" t="str">
        <f>_xlfn.XLOOKUP(TAB.IDEIAS.TOTAL[[#This Row],[Enviado por]],'BASE DMOS'!A:A,'BASE DMOS'!C:C,"Não encontrado")</f>
        <v>OPERAÇÃO</v>
      </c>
    </row>
    <row r="148" spans="1:16" ht="43.5" x14ac:dyDescent="0.35">
      <c r="A148" s="6" t="s">
        <v>631</v>
      </c>
      <c r="B148" s="6" t="s">
        <v>632</v>
      </c>
      <c r="C148" s="6" t="s">
        <v>184</v>
      </c>
      <c r="D148" s="6" t="s">
        <v>633</v>
      </c>
      <c r="E148" s="6" t="s">
        <v>140</v>
      </c>
      <c r="F148" s="6" t="s">
        <v>17</v>
      </c>
      <c r="G148" s="6" t="s">
        <v>54</v>
      </c>
      <c r="H148" s="5">
        <v>45776.577280092592</v>
      </c>
      <c r="I148" s="6" t="s">
        <v>50</v>
      </c>
      <c r="J148" s="5">
        <v>46282.604201388887</v>
      </c>
      <c r="K148" s="6" t="s">
        <v>294</v>
      </c>
      <c r="L148" s="6" t="s">
        <v>66</v>
      </c>
      <c r="M148" s="5"/>
      <c r="N148" s="14" t="s">
        <v>392</v>
      </c>
      <c r="O148" s="45" t="str">
        <f>_xlfn.XLOOKUP(TAB.IDEIAS.TOTAL[[#This Row],[Enviado por]],'BASE DMOS'!A:A,'BASE DMOS'!C:C,"Não encontrado")</f>
        <v>OPERAÇÃO</v>
      </c>
      <c r="P148" s="6" t="s">
        <v>15</v>
      </c>
    </row>
    <row r="149" spans="1:16" ht="116" x14ac:dyDescent="0.35">
      <c r="A149" s="6" t="s">
        <v>634</v>
      </c>
      <c r="B149" s="6" t="s">
        <v>635</v>
      </c>
      <c r="C149" s="6" t="s">
        <v>134</v>
      </c>
      <c r="D149" s="6" t="s">
        <v>636</v>
      </c>
      <c r="F149" s="6" t="s">
        <v>17</v>
      </c>
      <c r="G149" s="6" t="s">
        <v>30</v>
      </c>
      <c r="H149" s="5">
        <v>45777.706516203703</v>
      </c>
      <c r="I149" s="6" t="s">
        <v>50</v>
      </c>
      <c r="J149" s="5">
        <v>45933.479097222225</v>
      </c>
      <c r="K149" s="6" t="s">
        <v>637</v>
      </c>
      <c r="L149" s="6" t="s">
        <v>66</v>
      </c>
      <c r="M149" s="5">
        <v>45933.479097222225</v>
      </c>
      <c r="N149" s="5" t="s">
        <v>134</v>
      </c>
      <c r="O149" s="45">
        <f>_xlfn.XLOOKUP(TAB.IDEIAS.TOTAL[[#This Row],[Enviado por]],'BASE DMOS'!A:A,'BASE DMOS'!C:C,"Não encontrado")</f>
        <v>0</v>
      </c>
    </row>
    <row r="150" spans="1:16" ht="58" x14ac:dyDescent="0.35">
      <c r="A150" s="6" t="s">
        <v>638</v>
      </c>
      <c r="B150" s="6" t="s">
        <v>639</v>
      </c>
      <c r="C150" s="6" t="s">
        <v>15</v>
      </c>
      <c r="D150" s="6" t="s">
        <v>640</v>
      </c>
      <c r="E150" s="6" t="s">
        <v>120</v>
      </c>
      <c r="F150" s="6" t="s">
        <v>17</v>
      </c>
      <c r="G150" s="6" t="s">
        <v>61</v>
      </c>
      <c r="H150" s="5">
        <v>45778.081562500003</v>
      </c>
      <c r="I150" s="6" t="s">
        <v>31</v>
      </c>
      <c r="J150" s="5">
        <v>45853.388888888891</v>
      </c>
      <c r="L150" s="6" t="s">
        <v>32</v>
      </c>
      <c r="M150" s="5">
        <v>45853.388888888891</v>
      </c>
      <c r="N150" s="5" t="s">
        <v>15</v>
      </c>
      <c r="O150" s="45" t="str">
        <f>_xlfn.XLOOKUP(TAB.IDEIAS.TOTAL[[#This Row],[Enviado por]],'BASE DMOS'!A:A,'BASE DMOS'!C:C,"Não encontrado")</f>
        <v>OPERAÇÃO</v>
      </c>
    </row>
    <row r="151" spans="1:16" ht="72.5" x14ac:dyDescent="0.35">
      <c r="A151" s="6" t="s">
        <v>38</v>
      </c>
      <c r="B151" s="6" t="s">
        <v>39</v>
      </c>
      <c r="C151" s="6" t="s">
        <v>148</v>
      </c>
      <c r="D151" s="6" t="s">
        <v>641</v>
      </c>
      <c r="E151" s="6" t="s">
        <v>40</v>
      </c>
      <c r="F151" s="6" t="s">
        <v>17</v>
      </c>
      <c r="G151" s="6" t="s">
        <v>30</v>
      </c>
      <c r="H151" s="5">
        <v>45778.082511574074</v>
      </c>
      <c r="I151" s="6" t="s">
        <v>41</v>
      </c>
      <c r="J151" s="5">
        <v>45852.479027777779</v>
      </c>
      <c r="K151" s="6" t="s">
        <v>123</v>
      </c>
      <c r="L151" s="6" t="s">
        <v>32</v>
      </c>
      <c r="M151" s="5"/>
      <c r="N151" s="5" t="s">
        <v>148</v>
      </c>
      <c r="O151" s="45" t="str">
        <f>_xlfn.XLOOKUP(TAB.IDEIAS.TOTAL[[#This Row],[Enviado por]],'BASE DMOS'!A:A,'BASE DMOS'!C:C,"Não encontrado")</f>
        <v>OPERAÇÃO</v>
      </c>
    </row>
    <row r="152" spans="1:16" ht="58" x14ac:dyDescent="0.35">
      <c r="A152" s="6" t="s">
        <v>642</v>
      </c>
      <c r="B152" s="6" t="s">
        <v>643</v>
      </c>
      <c r="C152" s="6" t="s">
        <v>134</v>
      </c>
      <c r="D152" s="6" t="s">
        <v>644</v>
      </c>
      <c r="E152" s="6" t="s">
        <v>299</v>
      </c>
      <c r="F152" s="6" t="s">
        <v>17</v>
      </c>
      <c r="G152" s="6" t="s">
        <v>24</v>
      </c>
      <c r="H152" s="5">
        <v>45778.145497685182</v>
      </c>
      <c r="I152" s="6" t="s">
        <v>575</v>
      </c>
      <c r="J152" s="5">
        <v>45818.414687500001</v>
      </c>
      <c r="K152" s="6" t="s">
        <v>108</v>
      </c>
      <c r="L152" s="6" t="s">
        <v>32</v>
      </c>
      <c r="M152" s="5">
        <v>45818.414687500001</v>
      </c>
      <c r="N152" s="5" t="s">
        <v>134</v>
      </c>
      <c r="O152" s="45" t="str">
        <f>_xlfn.XLOOKUP(TAB.IDEIAS.TOTAL[[#This Row],[Enviado por]],'BASE DMOS'!A:A,'BASE DMOS'!C:C,"Não encontrado")</f>
        <v>OPERAÇÃO</v>
      </c>
    </row>
    <row r="153" spans="1:16" ht="174" x14ac:dyDescent="0.35">
      <c r="A153" s="6" t="s">
        <v>645</v>
      </c>
      <c r="B153" s="6" t="s">
        <v>646</v>
      </c>
      <c r="C153" s="6" t="s">
        <v>15</v>
      </c>
      <c r="D153" s="6" t="s">
        <v>647</v>
      </c>
      <c r="E153" s="6" t="s">
        <v>53</v>
      </c>
      <c r="F153" s="6" t="s">
        <v>17</v>
      </c>
      <c r="G153" s="6" t="s">
        <v>61</v>
      </c>
      <c r="H153" s="5">
        <v>45778.189849537041</v>
      </c>
      <c r="I153" s="6" t="s">
        <v>86</v>
      </c>
      <c r="J153" s="5">
        <v>45825.451388888891</v>
      </c>
      <c r="L153" s="6" t="s">
        <v>87</v>
      </c>
      <c r="M153" s="5">
        <v>45825.45140046296</v>
      </c>
      <c r="N153" s="5" t="s">
        <v>15</v>
      </c>
      <c r="O153" s="45" t="str">
        <f>_xlfn.XLOOKUP(TAB.IDEIAS.TOTAL[[#This Row],[Enviado por]],'BASE DMOS'!A:A,'BASE DMOS'!C:C,"Não encontrado")</f>
        <v>OPERAÇÃO</v>
      </c>
    </row>
    <row r="154" spans="1:16" ht="29" x14ac:dyDescent="0.35">
      <c r="A154" s="6" t="s">
        <v>648</v>
      </c>
      <c r="B154" s="6" t="s">
        <v>649</v>
      </c>
      <c r="C154" s="6" t="s">
        <v>148</v>
      </c>
      <c r="D154" s="6" t="s">
        <v>650</v>
      </c>
      <c r="E154" s="6" t="s">
        <v>53</v>
      </c>
      <c r="F154" s="6" t="s">
        <v>17</v>
      </c>
      <c r="G154" s="6" t="s">
        <v>18</v>
      </c>
      <c r="H154" s="5">
        <v>45778.193865740737</v>
      </c>
      <c r="I154" s="6" t="s">
        <v>36</v>
      </c>
      <c r="J154" s="5">
        <v>46007.206134259257</v>
      </c>
      <c r="K154" s="6" t="s">
        <v>105</v>
      </c>
      <c r="L154" s="6" t="s">
        <v>66</v>
      </c>
      <c r="M154" s="5"/>
      <c r="N154" s="5" t="s">
        <v>148</v>
      </c>
      <c r="O154" s="45" t="str">
        <f>_xlfn.XLOOKUP(TAB.IDEIAS.TOTAL[[#This Row],[Enviado por]],'BASE DMOS'!A:A,'BASE DMOS'!C:C,"Não encontrado")</f>
        <v>OPERAÇÃO</v>
      </c>
    </row>
    <row r="155" spans="1:16" ht="29" x14ac:dyDescent="0.35">
      <c r="A155" s="6" t="s">
        <v>651</v>
      </c>
      <c r="B155" s="6" t="s">
        <v>652</v>
      </c>
      <c r="C155" s="6" t="s">
        <v>148</v>
      </c>
      <c r="D155" s="6" t="s">
        <v>653</v>
      </c>
      <c r="E155" s="6" t="s">
        <v>53</v>
      </c>
      <c r="F155" s="6" t="s">
        <v>17</v>
      </c>
      <c r="G155" s="6" t="s">
        <v>18</v>
      </c>
      <c r="H155" s="5">
        <v>45778.195219907408</v>
      </c>
      <c r="I155" s="6" t="s">
        <v>36</v>
      </c>
      <c r="J155" s="5">
        <v>45889.007835648146</v>
      </c>
      <c r="K155" s="6" t="s">
        <v>105</v>
      </c>
      <c r="L155" s="6" t="s">
        <v>66</v>
      </c>
      <c r="M155" s="5"/>
      <c r="N155" s="5" t="s">
        <v>148</v>
      </c>
      <c r="O155" s="45" t="str">
        <f>_xlfn.XLOOKUP(TAB.IDEIAS.TOTAL[[#This Row],[Enviado por]],'BASE DMOS'!A:A,'BASE DMOS'!C:C,"Não encontrado")</f>
        <v>OPERAÇÃO</v>
      </c>
    </row>
    <row r="156" spans="1:16" ht="29" x14ac:dyDescent="0.35">
      <c r="A156" s="6" t="s">
        <v>654</v>
      </c>
      <c r="B156" s="6" t="s">
        <v>655</v>
      </c>
      <c r="C156" s="6" t="s">
        <v>15</v>
      </c>
      <c r="D156" s="6" t="s">
        <v>656</v>
      </c>
      <c r="E156" s="6" t="s">
        <v>53</v>
      </c>
      <c r="F156" s="6" t="s">
        <v>17</v>
      </c>
      <c r="G156" s="6" t="s">
        <v>30</v>
      </c>
      <c r="H156" s="5">
        <v>45778.195949074077</v>
      </c>
      <c r="I156" s="6" t="s">
        <v>36</v>
      </c>
      <c r="J156" s="5">
        <v>45817.613634259258</v>
      </c>
      <c r="L156" s="6" t="s">
        <v>66</v>
      </c>
      <c r="M156" s="5">
        <v>45817.613645833335</v>
      </c>
      <c r="N156" s="5" t="s">
        <v>15</v>
      </c>
      <c r="O156" s="45" t="str">
        <f>_xlfn.XLOOKUP(TAB.IDEIAS.TOTAL[[#This Row],[Enviado por]],'BASE DMOS'!A:A,'BASE DMOS'!C:C,"Não encontrado")</f>
        <v>OPERAÇÃO</v>
      </c>
    </row>
    <row r="157" spans="1:16" ht="29" x14ac:dyDescent="0.35">
      <c r="A157" s="6" t="s">
        <v>657</v>
      </c>
      <c r="B157" s="6" t="s">
        <v>658</v>
      </c>
      <c r="C157" s="6" t="s">
        <v>15</v>
      </c>
      <c r="D157" s="6" t="s">
        <v>659</v>
      </c>
      <c r="E157" s="6" t="s">
        <v>53</v>
      </c>
      <c r="F157" s="6" t="s">
        <v>17</v>
      </c>
      <c r="G157" s="6" t="s">
        <v>54</v>
      </c>
      <c r="H157" s="5">
        <v>45778.198842592596</v>
      </c>
      <c r="I157" s="6" t="s">
        <v>36</v>
      </c>
      <c r="J157" s="5">
        <v>45817.608449074076</v>
      </c>
      <c r="L157" s="6" t="s">
        <v>66</v>
      </c>
      <c r="M157" s="5">
        <v>45817.608449074076</v>
      </c>
      <c r="N157" s="5" t="s">
        <v>15</v>
      </c>
      <c r="O157" s="45" t="str">
        <f>_xlfn.XLOOKUP(TAB.IDEIAS.TOTAL[[#This Row],[Enviado por]],'BASE DMOS'!A:A,'BASE DMOS'!C:C,"Não encontrado")</f>
        <v>OPERAÇÃO</v>
      </c>
    </row>
    <row r="158" spans="1:16" ht="188.5" x14ac:dyDescent="0.35">
      <c r="A158" s="6" t="s">
        <v>42</v>
      </c>
      <c r="B158" s="6" t="s">
        <v>28</v>
      </c>
      <c r="C158" s="6" t="s">
        <v>134</v>
      </c>
      <c r="D158" s="6" t="s">
        <v>576</v>
      </c>
      <c r="E158" s="6" t="s">
        <v>29</v>
      </c>
      <c r="F158" s="6" t="s">
        <v>17</v>
      </c>
      <c r="G158" s="6" t="s">
        <v>30</v>
      </c>
      <c r="H158" s="5">
        <v>45778.453101851854</v>
      </c>
      <c r="I158" s="6" t="s">
        <v>43</v>
      </c>
      <c r="J158" s="5">
        <v>45939.578425925924</v>
      </c>
      <c r="L158" s="6" t="s">
        <v>32</v>
      </c>
      <c r="M158" s="5">
        <v>45939.578425925924</v>
      </c>
      <c r="N158" s="5" t="s">
        <v>134</v>
      </c>
      <c r="O158" s="45" t="str">
        <f>_xlfn.XLOOKUP(TAB.IDEIAS.TOTAL[[#This Row],[Enviado por]],'BASE DMOS'!A:A,'BASE DMOS'!C:C,"Não encontrado")</f>
        <v>ADM/TÉCNICO/ASSISTENTE/ESTAG.</v>
      </c>
    </row>
    <row r="159" spans="1:16" ht="130.5" x14ac:dyDescent="0.35">
      <c r="A159" s="6" t="s">
        <v>55</v>
      </c>
      <c r="B159" s="6" t="s">
        <v>56</v>
      </c>
      <c r="C159" s="6" t="s">
        <v>134</v>
      </c>
      <c r="D159" s="6" t="s">
        <v>660</v>
      </c>
      <c r="E159" s="6" t="s">
        <v>57</v>
      </c>
      <c r="F159" s="6" t="s">
        <v>17</v>
      </c>
      <c r="G159" s="6" t="s">
        <v>30</v>
      </c>
      <c r="H159" s="5">
        <v>45779.47246527778</v>
      </c>
      <c r="I159" s="6" t="s">
        <v>36</v>
      </c>
      <c r="J159" s="5">
        <v>45945.347673611112</v>
      </c>
      <c r="K159" s="6" t="s">
        <v>58</v>
      </c>
      <c r="L159" s="6" t="s">
        <v>66</v>
      </c>
      <c r="M159" s="5">
        <v>45945.347673611112</v>
      </c>
      <c r="N159" s="5" t="s">
        <v>134</v>
      </c>
      <c r="O159" s="45" t="str">
        <f>_xlfn.XLOOKUP(TAB.IDEIAS.TOTAL[[#This Row],[Enviado por]],'BASE DMOS'!A:A,'BASE DMOS'!C:C,"Não encontrado")</f>
        <v>OPERAÇÃO</v>
      </c>
    </row>
    <row r="160" spans="1:16" ht="116" x14ac:dyDescent="0.35">
      <c r="A160" s="6" t="s">
        <v>44</v>
      </c>
      <c r="B160" s="6" t="s">
        <v>45</v>
      </c>
      <c r="C160" s="6" t="s">
        <v>134</v>
      </c>
      <c r="D160" s="6" t="s">
        <v>661</v>
      </c>
      <c r="E160" s="6" t="s">
        <v>46</v>
      </c>
      <c r="F160" s="6" t="s">
        <v>17</v>
      </c>
      <c r="G160" s="6" t="s">
        <v>18</v>
      </c>
      <c r="H160" s="5">
        <v>45779.737013888887</v>
      </c>
      <c r="I160" s="6" t="s">
        <v>25</v>
      </c>
      <c r="J160" s="5">
        <v>45861.470659722225</v>
      </c>
      <c r="K160" s="6" t="s">
        <v>123</v>
      </c>
      <c r="L160" s="6" t="s">
        <v>26</v>
      </c>
      <c r="M160" s="5">
        <v>45861.470659722225</v>
      </c>
      <c r="N160" s="5" t="s">
        <v>134</v>
      </c>
      <c r="O160" s="45" t="str">
        <f>_xlfn.XLOOKUP(TAB.IDEIAS.TOTAL[[#This Row],[Enviado por]],'BASE DMOS'!A:A,'BASE DMOS'!C:C,"Não encontrado")</f>
        <v>OPERAÇÃO</v>
      </c>
      <c r="P160" t="s">
        <v>248</v>
      </c>
    </row>
    <row r="161" spans="1:16" ht="72.5" x14ac:dyDescent="0.35">
      <c r="A161" s="6" t="s">
        <v>662</v>
      </c>
      <c r="B161" s="6" t="s">
        <v>663</v>
      </c>
      <c r="C161" s="6" t="s">
        <v>148</v>
      </c>
      <c r="D161" s="6" t="s">
        <v>664</v>
      </c>
      <c r="E161" s="6" t="s">
        <v>427</v>
      </c>
      <c r="F161" s="6" t="s">
        <v>17</v>
      </c>
      <c r="G161" s="6" t="s">
        <v>18</v>
      </c>
      <c r="H161" s="5">
        <v>45780.064039351855</v>
      </c>
      <c r="I161" s="6" t="s">
        <v>174</v>
      </c>
      <c r="J161" s="5">
        <v>45930.460324074076</v>
      </c>
      <c r="K161" s="6" t="s">
        <v>78</v>
      </c>
      <c r="L161" s="6" t="s">
        <v>66</v>
      </c>
      <c r="M161" s="5"/>
      <c r="N161" s="5" t="s">
        <v>148</v>
      </c>
      <c r="O161" s="45" t="str">
        <f>_xlfn.XLOOKUP(TAB.IDEIAS.TOTAL[[#This Row],[Enviado por]],'BASE DMOS'!A:A,'BASE DMOS'!C:C,"Não encontrado")</f>
        <v>OPERAÇÃO</v>
      </c>
    </row>
    <row r="162" spans="1:16" ht="116" x14ac:dyDescent="0.35">
      <c r="A162" s="6" t="s">
        <v>665</v>
      </c>
      <c r="B162" s="6" t="s">
        <v>666</v>
      </c>
      <c r="C162" s="6" t="s">
        <v>134</v>
      </c>
      <c r="D162" s="6" t="s">
        <v>667</v>
      </c>
      <c r="E162" s="6" t="s">
        <v>151</v>
      </c>
      <c r="F162" s="6" t="s">
        <v>17</v>
      </c>
      <c r="G162" s="6" t="s">
        <v>61</v>
      </c>
      <c r="H162" s="5">
        <v>45780.41851851852</v>
      </c>
      <c r="I162" s="6" t="s">
        <v>19</v>
      </c>
      <c r="J162" s="5">
        <v>46094.772581018522</v>
      </c>
      <c r="K162" s="6" t="s">
        <v>252</v>
      </c>
      <c r="L162" s="6" t="s">
        <v>20</v>
      </c>
      <c r="M162" s="5">
        <v>46094.772581018522</v>
      </c>
      <c r="N162" s="5" t="s">
        <v>134</v>
      </c>
      <c r="O162" s="45" t="str">
        <f>_xlfn.XLOOKUP(TAB.IDEIAS.TOTAL[[#This Row],[Enviado por]],'BASE DMOS'!A:A,'BASE DMOS'!C:C,"Não encontrado")</f>
        <v>ADM/TÉCNICO/ASSISTENTE/ESTAG.</v>
      </c>
    </row>
    <row r="163" spans="1:16" ht="203" x14ac:dyDescent="0.35">
      <c r="A163" s="6" t="s">
        <v>668</v>
      </c>
      <c r="B163" s="6" t="s">
        <v>669</v>
      </c>
      <c r="C163" s="6" t="s">
        <v>134</v>
      </c>
      <c r="D163" s="6" t="s">
        <v>670</v>
      </c>
      <c r="E163" s="6" t="s">
        <v>562</v>
      </c>
      <c r="F163" s="6" t="s">
        <v>17</v>
      </c>
      <c r="G163" s="6" t="s">
        <v>24</v>
      </c>
      <c r="H163" s="5">
        <v>45785.383159722223</v>
      </c>
      <c r="I163" s="6" t="s">
        <v>227</v>
      </c>
      <c r="J163" s="5">
        <v>45817.671793981484</v>
      </c>
      <c r="K163" s="6" t="s">
        <v>337</v>
      </c>
      <c r="L163" s="6" t="s">
        <v>228</v>
      </c>
      <c r="M163" s="5">
        <v>45817.671793981484</v>
      </c>
      <c r="N163" s="5" t="s">
        <v>134</v>
      </c>
      <c r="O163" s="45" t="str">
        <f>_xlfn.XLOOKUP(TAB.IDEIAS.TOTAL[[#This Row],[Enviado por]],'BASE DMOS'!A:A,'BASE DMOS'!C:C,"Não encontrado")</f>
        <v>OPERAÇÃO</v>
      </c>
    </row>
    <row r="164" spans="1:16" ht="43.5" x14ac:dyDescent="0.35">
      <c r="A164" s="6" t="s">
        <v>671</v>
      </c>
      <c r="B164" s="6" t="s">
        <v>672</v>
      </c>
      <c r="C164" s="6" t="s">
        <v>134</v>
      </c>
      <c r="D164" s="6" t="s">
        <v>673</v>
      </c>
      <c r="E164" s="6" t="s">
        <v>674</v>
      </c>
      <c r="F164" s="6" t="s">
        <v>17</v>
      </c>
      <c r="G164" s="6" t="s">
        <v>61</v>
      </c>
      <c r="H164" s="5">
        <v>45785.577256944445</v>
      </c>
      <c r="I164" s="6" t="s">
        <v>227</v>
      </c>
      <c r="J164" s="5">
        <v>45835.439756944441</v>
      </c>
      <c r="K164" s="6" t="s">
        <v>337</v>
      </c>
      <c r="L164" s="6" t="s">
        <v>228</v>
      </c>
      <c r="M164" s="5">
        <v>45835.439756944441</v>
      </c>
      <c r="N164" s="5" t="s">
        <v>134</v>
      </c>
      <c r="O164" s="45" t="str">
        <f>_xlfn.XLOOKUP(TAB.IDEIAS.TOTAL[[#This Row],[Enviado por]],'BASE DMOS'!A:A,'BASE DMOS'!C:C,"Não encontrado")</f>
        <v>OPERAÇÃO</v>
      </c>
    </row>
    <row r="165" spans="1:16" ht="43.5" x14ac:dyDescent="0.35">
      <c r="A165" s="6" t="s">
        <v>675</v>
      </c>
      <c r="B165" s="6" t="s">
        <v>676</v>
      </c>
      <c r="C165" s="6" t="s">
        <v>184</v>
      </c>
      <c r="D165" s="6" t="s">
        <v>677</v>
      </c>
      <c r="E165" s="6" t="s">
        <v>571</v>
      </c>
      <c r="F165" s="6" t="s">
        <v>17</v>
      </c>
      <c r="G165" s="6" t="s">
        <v>18</v>
      </c>
      <c r="H165" s="5">
        <v>45787.077939814815</v>
      </c>
      <c r="I165" s="6" t="s">
        <v>36</v>
      </c>
      <c r="J165" s="5">
        <v>46244.586840277778</v>
      </c>
      <c r="K165" s="6" t="s">
        <v>82</v>
      </c>
      <c r="L165" s="6" t="s">
        <v>66</v>
      </c>
      <c r="M165" s="5"/>
      <c r="N165" s="14" t="s">
        <v>392</v>
      </c>
      <c r="O165" s="45" t="str">
        <f>_xlfn.XLOOKUP(TAB.IDEIAS.TOTAL[[#This Row],[Enviado por]],'BASE DMOS'!A:A,'BASE DMOS'!C:C,"Não encontrado")</f>
        <v>OPERAÇÃO</v>
      </c>
    </row>
    <row r="166" spans="1:16" ht="174" x14ac:dyDescent="0.35">
      <c r="A166" s="6" t="s">
        <v>678</v>
      </c>
      <c r="B166" s="6" t="s">
        <v>679</v>
      </c>
      <c r="C166" s="6" t="s">
        <v>15</v>
      </c>
      <c r="D166" s="6" t="s">
        <v>680</v>
      </c>
      <c r="F166" s="6" t="s">
        <v>17</v>
      </c>
      <c r="G166" s="6" t="s">
        <v>24</v>
      </c>
      <c r="H166" s="5">
        <v>45789.557557870372</v>
      </c>
      <c r="I166" s="6" t="s">
        <v>86</v>
      </c>
      <c r="J166" s="5">
        <v>46155.626956018517</v>
      </c>
      <c r="L166" s="6" t="s">
        <v>87</v>
      </c>
      <c r="M166" s="5">
        <v>46155.626956018517</v>
      </c>
      <c r="N166" s="5" t="s">
        <v>15</v>
      </c>
      <c r="O166" s="45">
        <f>_xlfn.XLOOKUP(TAB.IDEIAS.TOTAL[[#This Row],[Enviado por]],'BASE DMOS'!A:A,'BASE DMOS'!C:C,"Não encontrado")</f>
        <v>0</v>
      </c>
    </row>
    <row r="167" spans="1:16" ht="43.5" x14ac:dyDescent="0.35">
      <c r="A167" s="6" t="s">
        <v>681</v>
      </c>
      <c r="B167" s="6" t="s">
        <v>682</v>
      </c>
      <c r="C167" s="6" t="s">
        <v>148</v>
      </c>
      <c r="D167" s="6" t="s">
        <v>683</v>
      </c>
      <c r="E167" s="6" t="s">
        <v>58</v>
      </c>
      <c r="F167" s="6" t="s">
        <v>17</v>
      </c>
      <c r="G167" s="6" t="s">
        <v>30</v>
      </c>
      <c r="H167" s="5">
        <v>45789.642453703702</v>
      </c>
      <c r="I167" s="6" t="s">
        <v>50</v>
      </c>
      <c r="J167" s="5">
        <v>46125.427789351852</v>
      </c>
      <c r="K167" s="6" t="s">
        <v>684</v>
      </c>
      <c r="L167" s="6" t="s">
        <v>66</v>
      </c>
      <c r="M167" s="5"/>
      <c r="N167" s="5" t="s">
        <v>148</v>
      </c>
      <c r="O167" s="45" t="str">
        <f>_xlfn.XLOOKUP(TAB.IDEIAS.TOTAL[[#This Row],[Enviado por]],'BASE DMOS'!A:A,'BASE DMOS'!C:C,"Não encontrado")</f>
        <v>ADM/TÉCNICO/ASSISTENTE/ESTAG.</v>
      </c>
    </row>
    <row r="168" spans="1:16" ht="101.5" x14ac:dyDescent="0.35">
      <c r="A168" s="6" t="s">
        <v>685</v>
      </c>
      <c r="B168" s="6" t="s">
        <v>686</v>
      </c>
      <c r="C168" s="6" t="s">
        <v>148</v>
      </c>
      <c r="D168" s="6" t="s">
        <v>687</v>
      </c>
      <c r="E168" s="6" t="s">
        <v>562</v>
      </c>
      <c r="F168" s="6" t="s">
        <v>17</v>
      </c>
      <c r="G168" s="6" t="s">
        <v>24</v>
      </c>
      <c r="H168" s="5">
        <v>45791.376828703702</v>
      </c>
      <c r="I168" s="6" t="s">
        <v>227</v>
      </c>
      <c r="J168" s="5">
        <v>46282.576990740738</v>
      </c>
      <c r="K168" s="6" t="s">
        <v>688</v>
      </c>
      <c r="L168" s="6" t="s">
        <v>66</v>
      </c>
      <c r="M168" s="5"/>
      <c r="N168" s="14" t="s">
        <v>148</v>
      </c>
      <c r="O168" s="45" t="str">
        <f>_xlfn.XLOOKUP(TAB.IDEIAS.TOTAL[[#This Row],[Enviado por]],'BASE DMOS'!A:A,'BASE DMOS'!C:C,"Não encontrado")</f>
        <v>OPERAÇÃO</v>
      </c>
    </row>
    <row r="169" spans="1:16" ht="43.5" x14ac:dyDescent="0.35">
      <c r="A169" s="6" t="s">
        <v>689</v>
      </c>
      <c r="B169" s="6" t="s">
        <v>690</v>
      </c>
      <c r="C169" s="6" t="s">
        <v>134</v>
      </c>
      <c r="D169" s="6" t="s">
        <v>691</v>
      </c>
      <c r="E169" s="6" t="s">
        <v>151</v>
      </c>
      <c r="F169" s="6" t="s">
        <v>17</v>
      </c>
      <c r="G169" s="6" t="s">
        <v>61</v>
      </c>
      <c r="H169" s="5">
        <v>45797.509513888886</v>
      </c>
      <c r="I169" s="6" t="s">
        <v>19</v>
      </c>
      <c r="J169" s="5">
        <v>46170.509085648147</v>
      </c>
      <c r="K169" s="6" t="s">
        <v>109</v>
      </c>
      <c r="L169" s="6" t="s">
        <v>20</v>
      </c>
      <c r="M169" s="5">
        <v>46170.509085648147</v>
      </c>
      <c r="N169" s="5" t="s">
        <v>134</v>
      </c>
      <c r="O169" s="45" t="str">
        <f>_xlfn.XLOOKUP(TAB.IDEIAS.TOTAL[[#This Row],[Enviado por]],'BASE DMOS'!A:A,'BASE DMOS'!C:C,"Não encontrado")</f>
        <v>ADM/TÉCNICO/ASSISTENTE/ESTAG.</v>
      </c>
    </row>
    <row r="170" spans="1:16" ht="72.5" x14ac:dyDescent="0.35">
      <c r="A170" s="6" t="s">
        <v>692</v>
      </c>
      <c r="B170" s="6" t="s">
        <v>693</v>
      </c>
      <c r="C170" s="6" t="s">
        <v>134</v>
      </c>
      <c r="D170" s="6" t="s">
        <v>694</v>
      </c>
      <c r="E170" s="6" t="s">
        <v>108</v>
      </c>
      <c r="F170" s="6" t="s">
        <v>17</v>
      </c>
      <c r="G170" s="6" t="s">
        <v>61</v>
      </c>
      <c r="H170" s="5">
        <v>45798.35019675926</v>
      </c>
      <c r="I170" s="6" t="s">
        <v>695</v>
      </c>
      <c r="J170" s="5">
        <v>45812.399814814817</v>
      </c>
      <c r="K170" s="6" t="s">
        <v>97</v>
      </c>
      <c r="L170" s="6" t="s">
        <v>273</v>
      </c>
      <c r="M170" s="5">
        <v>45812.399814814817</v>
      </c>
      <c r="N170" s="5" t="s">
        <v>134</v>
      </c>
      <c r="O170" s="45" t="str">
        <f>_xlfn.XLOOKUP(TAB.IDEIAS.TOTAL[[#This Row],[Enviado por]],'BASE DMOS'!A:A,'BASE DMOS'!C:C,"Não encontrado")</f>
        <v>ADM/TÉCNICO/ASSISTENTE/ESTAG.</v>
      </c>
    </row>
    <row r="171" spans="1:16" ht="58" x14ac:dyDescent="0.35">
      <c r="A171" s="6" t="s">
        <v>696</v>
      </c>
      <c r="B171" s="6" t="s">
        <v>697</v>
      </c>
      <c r="C171" s="6" t="s">
        <v>134</v>
      </c>
      <c r="D171" s="6" t="s">
        <v>698</v>
      </c>
      <c r="E171" s="6" t="s">
        <v>29</v>
      </c>
      <c r="F171" s="6" t="s">
        <v>17</v>
      </c>
      <c r="G171" s="6" t="s">
        <v>30</v>
      </c>
      <c r="H171" s="5">
        <v>45798.5621875</v>
      </c>
      <c r="I171" s="6" t="s">
        <v>31</v>
      </c>
      <c r="J171" s="5">
        <v>45933.478171296294</v>
      </c>
      <c r="K171" s="6" t="s">
        <v>637</v>
      </c>
      <c r="L171" s="6" t="s">
        <v>32</v>
      </c>
      <c r="M171" s="5">
        <v>45933.478171296294</v>
      </c>
      <c r="N171" s="5" t="s">
        <v>134</v>
      </c>
      <c r="O171" s="45" t="str">
        <f>_xlfn.XLOOKUP(TAB.IDEIAS.TOTAL[[#This Row],[Enviado por]],'BASE DMOS'!A:A,'BASE DMOS'!C:C,"Não encontrado")</f>
        <v>ADM/TÉCNICO/ASSISTENTE/ESTAG.</v>
      </c>
    </row>
    <row r="172" spans="1:16" ht="174" x14ac:dyDescent="0.35">
      <c r="A172" s="6" t="s">
        <v>699</v>
      </c>
      <c r="B172" s="6" t="s">
        <v>700</v>
      </c>
      <c r="C172" s="6" t="s">
        <v>184</v>
      </c>
      <c r="D172" s="6" t="s">
        <v>701</v>
      </c>
      <c r="E172" s="6" t="s">
        <v>494</v>
      </c>
      <c r="F172" s="6" t="s">
        <v>17</v>
      </c>
      <c r="G172" s="6" t="s">
        <v>54</v>
      </c>
      <c r="H172" s="5">
        <v>45800.378518518519</v>
      </c>
      <c r="I172" s="6" t="s">
        <v>91</v>
      </c>
      <c r="J172" s="5">
        <v>46051.586886574078</v>
      </c>
      <c r="K172" s="6" t="s">
        <v>391</v>
      </c>
      <c r="L172" s="6" t="s">
        <v>32</v>
      </c>
      <c r="M172" s="5"/>
      <c r="N172" s="14" t="s">
        <v>392</v>
      </c>
      <c r="O172" s="45" t="str">
        <f>_xlfn.XLOOKUP(TAB.IDEIAS.TOTAL[[#This Row],[Enviado por]],'BASE DMOS'!A:A,'BASE DMOS'!C:C,"Não encontrado")</f>
        <v>OPERAÇÃO</v>
      </c>
    </row>
    <row r="173" spans="1:16" ht="159.5" x14ac:dyDescent="0.35">
      <c r="A173" s="6" t="s">
        <v>702</v>
      </c>
      <c r="B173" s="6" t="s">
        <v>703</v>
      </c>
      <c r="C173" s="6" t="s">
        <v>134</v>
      </c>
      <c r="D173" s="6" t="s">
        <v>704</v>
      </c>
      <c r="F173" s="6" t="s">
        <v>17</v>
      </c>
      <c r="G173" s="6" t="s">
        <v>30</v>
      </c>
      <c r="H173" s="5">
        <v>45801.520937499998</v>
      </c>
      <c r="I173" s="6" t="s">
        <v>25</v>
      </c>
      <c r="J173" s="5">
        <v>45959.551990740743</v>
      </c>
      <c r="K173" s="6" t="s">
        <v>90</v>
      </c>
      <c r="L173" s="6" t="s">
        <v>26</v>
      </c>
      <c r="M173" s="5">
        <v>45959.551990740743</v>
      </c>
      <c r="N173" s="5" t="s">
        <v>134</v>
      </c>
      <c r="O173" s="45">
        <f>_xlfn.XLOOKUP(TAB.IDEIAS.TOTAL[[#This Row],[Enviado por]],'BASE DMOS'!A:A,'BASE DMOS'!C:C,"Não encontrado")</f>
        <v>0</v>
      </c>
      <c r="P173" t="s">
        <v>248</v>
      </c>
    </row>
    <row r="174" spans="1:16" ht="72.5" x14ac:dyDescent="0.35">
      <c r="A174" s="6" t="s">
        <v>705</v>
      </c>
      <c r="B174" s="6" t="s">
        <v>706</v>
      </c>
      <c r="C174" s="6" t="s">
        <v>134</v>
      </c>
      <c r="D174" s="6" t="s">
        <v>707</v>
      </c>
      <c r="E174" s="6" t="s">
        <v>381</v>
      </c>
      <c r="F174" s="6" t="s">
        <v>17</v>
      </c>
      <c r="G174" s="6" t="s">
        <v>30</v>
      </c>
      <c r="H174" s="5">
        <v>45805.237002314818</v>
      </c>
      <c r="I174" s="6" t="s">
        <v>50</v>
      </c>
      <c r="J174" s="5">
        <v>45966.36922453704</v>
      </c>
      <c r="K174" s="6" t="s">
        <v>105</v>
      </c>
      <c r="L174" s="6" t="s">
        <v>66</v>
      </c>
      <c r="M174" s="5">
        <v>45966.36922453704</v>
      </c>
      <c r="N174" s="5" t="s">
        <v>134</v>
      </c>
      <c r="O174" s="45" t="str">
        <f>_xlfn.XLOOKUP(TAB.IDEIAS.TOTAL[[#This Row],[Enviado por]],'BASE DMOS'!A:A,'BASE DMOS'!C:C,"Não encontrado")</f>
        <v>OPERAÇÃO</v>
      </c>
    </row>
    <row r="175" spans="1:16" ht="72.5" x14ac:dyDescent="0.35">
      <c r="A175" s="6" t="s">
        <v>708</v>
      </c>
      <c r="B175" s="6" t="s">
        <v>709</v>
      </c>
      <c r="C175" s="6" t="s">
        <v>134</v>
      </c>
      <c r="D175" s="6" t="s">
        <v>710</v>
      </c>
      <c r="E175" s="6" t="s">
        <v>145</v>
      </c>
      <c r="F175" s="6" t="s">
        <v>17</v>
      </c>
      <c r="G175" s="6" t="s">
        <v>61</v>
      </c>
      <c r="H175" s="5">
        <v>45805.419432870367</v>
      </c>
      <c r="I175" s="6" t="s">
        <v>25</v>
      </c>
      <c r="J175" s="5">
        <v>46246.385127314818</v>
      </c>
      <c r="K175" s="6" t="s">
        <v>109</v>
      </c>
      <c r="L175" s="6" t="s">
        <v>66</v>
      </c>
      <c r="M175" s="5">
        <v>46246.385127314818</v>
      </c>
      <c r="N175" s="5" t="s">
        <v>134</v>
      </c>
      <c r="O175" s="45" t="str">
        <f>_xlfn.XLOOKUP(TAB.IDEIAS.TOTAL[[#This Row],[Enviado por]],'BASE DMOS'!A:A,'BASE DMOS'!C:C,"Não encontrado")</f>
        <v>OPERAÇÃO</v>
      </c>
    </row>
    <row r="176" spans="1:16" ht="43.5" x14ac:dyDescent="0.35">
      <c r="A176" s="6" t="s">
        <v>711</v>
      </c>
      <c r="B176" s="6" t="s">
        <v>712</v>
      </c>
      <c r="C176" s="6" t="s">
        <v>15</v>
      </c>
      <c r="D176" s="6" t="s">
        <v>713</v>
      </c>
      <c r="E176" s="6" t="s">
        <v>260</v>
      </c>
      <c r="F176" s="6" t="s">
        <v>17</v>
      </c>
      <c r="G176" s="6" t="s">
        <v>61</v>
      </c>
      <c r="H176" s="5">
        <v>45806.882592592592</v>
      </c>
      <c r="I176" s="6" t="s">
        <v>162</v>
      </c>
      <c r="J176" s="5">
        <v>45818.447916666664</v>
      </c>
      <c r="L176" s="6" t="s">
        <v>163</v>
      </c>
      <c r="M176" s="5">
        <v>45818.447916666664</v>
      </c>
      <c r="N176" s="5" t="s">
        <v>15</v>
      </c>
      <c r="O176" s="45" t="str">
        <f>_xlfn.XLOOKUP(TAB.IDEIAS.TOTAL[[#This Row],[Enviado por]],'BASE DMOS'!A:A,'BASE DMOS'!C:C,"Não encontrado")</f>
        <v>OPERAÇÃO</v>
      </c>
    </row>
    <row r="177" spans="1:15" ht="43.5" x14ac:dyDescent="0.35">
      <c r="A177" s="6" t="s">
        <v>714</v>
      </c>
      <c r="B177" s="6" t="s">
        <v>715</v>
      </c>
      <c r="C177" s="6" t="s">
        <v>15</v>
      </c>
      <c r="D177" s="6" t="s">
        <v>716</v>
      </c>
      <c r="E177" s="6" t="s">
        <v>260</v>
      </c>
      <c r="F177" s="6" t="s">
        <v>17</v>
      </c>
      <c r="G177" s="6" t="s">
        <v>61</v>
      </c>
      <c r="H177" s="5">
        <v>45806.88989583333</v>
      </c>
      <c r="I177" s="6" t="s">
        <v>162</v>
      </c>
      <c r="J177" s="5">
        <v>45812.476087962961</v>
      </c>
      <c r="L177" s="6" t="s">
        <v>163</v>
      </c>
      <c r="M177" s="5">
        <v>45812.476087962961</v>
      </c>
      <c r="N177" s="5" t="s">
        <v>15</v>
      </c>
      <c r="O177" s="45" t="str">
        <f>_xlfn.XLOOKUP(TAB.IDEIAS.TOTAL[[#This Row],[Enviado por]],'BASE DMOS'!A:A,'BASE DMOS'!C:C,"Não encontrado")</f>
        <v>OPERAÇÃO</v>
      </c>
    </row>
    <row r="178" spans="1:15" ht="29" x14ac:dyDescent="0.35">
      <c r="A178" s="6" t="s">
        <v>717</v>
      </c>
      <c r="B178" s="6" t="s">
        <v>718</v>
      </c>
      <c r="C178" s="6" t="s">
        <v>15</v>
      </c>
      <c r="D178" s="6" t="s">
        <v>719</v>
      </c>
      <c r="E178" s="6" t="s">
        <v>260</v>
      </c>
      <c r="F178" s="6" t="s">
        <v>17</v>
      </c>
      <c r="G178" s="6" t="s">
        <v>61</v>
      </c>
      <c r="H178" s="5">
        <v>45806.892094907409</v>
      </c>
      <c r="I178" s="6" t="s">
        <v>162</v>
      </c>
      <c r="J178" s="5">
        <v>45818.44226851852</v>
      </c>
      <c r="L178" s="6" t="s">
        <v>163</v>
      </c>
      <c r="M178" s="5">
        <v>45818.44226851852</v>
      </c>
      <c r="N178" s="5" t="s">
        <v>15</v>
      </c>
      <c r="O178" s="45" t="str">
        <f>_xlfn.XLOOKUP(TAB.IDEIAS.TOTAL[[#This Row],[Enviado por]],'BASE DMOS'!A:A,'BASE DMOS'!C:C,"Não encontrado")</f>
        <v>OPERAÇÃO</v>
      </c>
    </row>
    <row r="179" spans="1:15" ht="159.5" x14ac:dyDescent="0.35">
      <c r="A179" s="6" t="s">
        <v>720</v>
      </c>
      <c r="B179" s="6" t="s">
        <v>721</v>
      </c>
      <c r="C179" s="6" t="s">
        <v>134</v>
      </c>
      <c r="D179" s="6" t="s">
        <v>722</v>
      </c>
      <c r="E179" s="6" t="s">
        <v>145</v>
      </c>
      <c r="F179" s="6" t="s">
        <v>17</v>
      </c>
      <c r="G179" s="6" t="s">
        <v>18</v>
      </c>
      <c r="H179" s="5">
        <v>45810.446932870371</v>
      </c>
      <c r="I179" s="6" t="s">
        <v>25</v>
      </c>
      <c r="J179" s="5">
        <v>45845.591157407405</v>
      </c>
      <c r="L179" s="6" t="s">
        <v>26</v>
      </c>
      <c r="M179" s="5">
        <v>45845.591157407405</v>
      </c>
      <c r="N179" s="5" t="s">
        <v>134</v>
      </c>
      <c r="O179" s="45" t="str">
        <f>_xlfn.XLOOKUP(TAB.IDEIAS.TOTAL[[#This Row],[Enviado por]],'BASE DMOS'!A:A,'BASE DMOS'!C:C,"Não encontrado")</f>
        <v>OPERAÇÃO</v>
      </c>
    </row>
    <row r="180" spans="1:15" ht="29" x14ac:dyDescent="0.35">
      <c r="A180" s="6" t="s">
        <v>723</v>
      </c>
      <c r="B180" s="6" t="s">
        <v>724</v>
      </c>
      <c r="C180" s="6" t="s">
        <v>15</v>
      </c>
      <c r="D180" s="6" t="s">
        <v>725</v>
      </c>
      <c r="E180" s="6" t="s">
        <v>571</v>
      </c>
      <c r="F180" s="6" t="s">
        <v>17</v>
      </c>
      <c r="G180" s="6" t="s">
        <v>54</v>
      </c>
      <c r="H180" s="5">
        <v>45811.938321759262</v>
      </c>
      <c r="I180" s="6" t="s">
        <v>36</v>
      </c>
      <c r="J180" s="5">
        <v>45817.609814814816</v>
      </c>
      <c r="L180" s="6" t="s">
        <v>66</v>
      </c>
      <c r="M180" s="5">
        <v>45817.609814814816</v>
      </c>
      <c r="N180" s="5" t="s">
        <v>15</v>
      </c>
      <c r="O180" s="45" t="str">
        <f>_xlfn.XLOOKUP(TAB.IDEIAS.TOTAL[[#This Row],[Enviado por]],'BASE DMOS'!A:A,'BASE DMOS'!C:C,"Não encontrado")</f>
        <v>OPERAÇÃO</v>
      </c>
    </row>
    <row r="181" spans="1:15" ht="58" x14ac:dyDescent="0.35">
      <c r="A181" s="6" t="s">
        <v>726</v>
      </c>
      <c r="B181" s="6" t="s">
        <v>727</v>
      </c>
      <c r="C181" s="6" t="s">
        <v>148</v>
      </c>
      <c r="D181" s="6" t="s">
        <v>728</v>
      </c>
      <c r="E181" s="6" t="s">
        <v>145</v>
      </c>
      <c r="F181" s="6" t="s">
        <v>17</v>
      </c>
      <c r="G181" s="6" t="s">
        <v>24</v>
      </c>
      <c r="H181" s="5">
        <v>45812.44972222222</v>
      </c>
      <c r="I181" s="6" t="s">
        <v>25</v>
      </c>
      <c r="J181" s="5">
        <v>45912.409409722219</v>
      </c>
      <c r="K181" s="6" t="s">
        <v>29</v>
      </c>
      <c r="L181" s="6" t="s">
        <v>26</v>
      </c>
      <c r="M181" s="5"/>
      <c r="N181" s="5" t="s">
        <v>148</v>
      </c>
      <c r="O181" s="45" t="str">
        <f>_xlfn.XLOOKUP(TAB.IDEIAS.TOTAL[[#This Row],[Enviado por]],'BASE DMOS'!A:A,'BASE DMOS'!C:C,"Não encontrado")</f>
        <v>OPERAÇÃO</v>
      </c>
    </row>
    <row r="182" spans="1:15" ht="87" x14ac:dyDescent="0.35">
      <c r="A182" s="6" t="s">
        <v>729</v>
      </c>
      <c r="B182" s="6" t="s">
        <v>730</v>
      </c>
      <c r="C182" s="6" t="s">
        <v>15</v>
      </c>
      <c r="D182" s="6" t="s">
        <v>731</v>
      </c>
      <c r="E182" s="6" t="s">
        <v>16</v>
      </c>
      <c r="F182" s="6" t="s">
        <v>17</v>
      </c>
      <c r="G182" s="6" t="s">
        <v>61</v>
      </c>
      <c r="H182" s="5">
        <v>45812.468622685185</v>
      </c>
      <c r="I182" s="6" t="s">
        <v>31</v>
      </c>
      <c r="J182" s="5">
        <v>45853.438356481478</v>
      </c>
      <c r="L182" s="6" t="s">
        <v>32</v>
      </c>
      <c r="M182" s="5">
        <v>45853.438356481478</v>
      </c>
      <c r="N182" s="5" t="s">
        <v>15</v>
      </c>
      <c r="O182" s="45" t="str">
        <f>_xlfn.XLOOKUP(TAB.IDEIAS.TOTAL[[#This Row],[Enviado por]],'BASE DMOS'!A:A,'BASE DMOS'!C:C,"Não encontrado")</f>
        <v>OPERAÇÃO</v>
      </c>
    </row>
    <row r="183" spans="1:15" ht="87" x14ac:dyDescent="0.35">
      <c r="A183" s="6" t="s">
        <v>732</v>
      </c>
      <c r="B183" s="6" t="s">
        <v>733</v>
      </c>
      <c r="C183" s="6" t="s">
        <v>15</v>
      </c>
      <c r="D183" s="6" t="s">
        <v>734</v>
      </c>
      <c r="E183" s="6" t="s">
        <v>16</v>
      </c>
      <c r="F183" s="6" t="s">
        <v>17</v>
      </c>
      <c r="G183" s="6" t="s">
        <v>54</v>
      </c>
      <c r="H183" s="5">
        <v>45812.491747685184</v>
      </c>
      <c r="I183" s="6" t="s">
        <v>31</v>
      </c>
      <c r="J183" s="5">
        <v>45817.667986111112</v>
      </c>
      <c r="K183" s="6" t="s">
        <v>90</v>
      </c>
      <c r="L183" s="6" t="s">
        <v>32</v>
      </c>
      <c r="M183" s="5">
        <v>45817.667986111112</v>
      </c>
      <c r="N183" s="5" t="s">
        <v>15</v>
      </c>
      <c r="O183" s="45" t="str">
        <f>_xlfn.XLOOKUP(TAB.IDEIAS.TOTAL[[#This Row],[Enviado por]],'BASE DMOS'!A:A,'BASE DMOS'!C:C,"Não encontrado")</f>
        <v>OPERAÇÃO</v>
      </c>
    </row>
    <row r="184" spans="1:15" ht="116" x14ac:dyDescent="0.35">
      <c r="A184" s="6" t="s">
        <v>70</v>
      </c>
      <c r="B184" s="6" t="s">
        <v>71</v>
      </c>
      <c r="C184" s="6" t="s">
        <v>148</v>
      </c>
      <c r="D184" s="6" t="s">
        <v>735</v>
      </c>
      <c r="E184" s="6" t="s">
        <v>72</v>
      </c>
      <c r="F184" s="6" t="s">
        <v>17</v>
      </c>
      <c r="G184" s="6" t="s">
        <v>54</v>
      </c>
      <c r="H184" s="5">
        <v>45813.51972222222</v>
      </c>
      <c r="I184" s="6" t="s">
        <v>73</v>
      </c>
      <c r="J184" s="5">
        <v>46276.554293981484</v>
      </c>
      <c r="K184" s="6" t="s">
        <v>74</v>
      </c>
      <c r="L184" s="6" t="s">
        <v>66</v>
      </c>
      <c r="M184" s="5"/>
      <c r="N184" s="5" t="s">
        <v>148</v>
      </c>
      <c r="O184" s="45" t="str">
        <f>_xlfn.XLOOKUP(TAB.IDEIAS.TOTAL[[#This Row],[Enviado por]],'BASE DMOS'!A:A,'BASE DMOS'!C:C,"Não encontrado")</f>
        <v>OPERAÇÃO</v>
      </c>
    </row>
    <row r="185" spans="1:15" ht="43.5" x14ac:dyDescent="0.35">
      <c r="A185" s="6" t="s">
        <v>736</v>
      </c>
      <c r="B185" s="6" t="s">
        <v>737</v>
      </c>
      <c r="C185" s="6" t="s">
        <v>134</v>
      </c>
      <c r="D185" s="6" t="s">
        <v>738</v>
      </c>
      <c r="E185" s="6" t="s">
        <v>287</v>
      </c>
      <c r="F185" s="6" t="s">
        <v>17</v>
      </c>
      <c r="G185" s="6" t="s">
        <v>30</v>
      </c>
      <c r="H185" s="5">
        <v>45813.564282407409</v>
      </c>
      <c r="I185" s="6" t="s">
        <v>19</v>
      </c>
      <c r="J185" s="5">
        <v>45840.34783564815</v>
      </c>
      <c r="K185" s="6" t="s">
        <v>205</v>
      </c>
      <c r="L185" s="6" t="s">
        <v>20</v>
      </c>
      <c r="M185" s="5">
        <v>45840.34783564815</v>
      </c>
      <c r="N185" s="5" t="s">
        <v>134</v>
      </c>
      <c r="O185" s="45" t="str">
        <f>_xlfn.XLOOKUP(TAB.IDEIAS.TOTAL[[#This Row],[Enviado por]],'BASE DMOS'!A:A,'BASE DMOS'!C:C,"Não encontrado")</f>
        <v>OPERAÇÃO</v>
      </c>
    </row>
    <row r="186" spans="1:15" ht="43.5" x14ac:dyDescent="0.35">
      <c r="A186" s="6" t="s">
        <v>739</v>
      </c>
      <c r="B186" s="6" t="s">
        <v>740</v>
      </c>
      <c r="C186" s="6" t="s">
        <v>148</v>
      </c>
      <c r="D186" s="6" t="s">
        <v>741</v>
      </c>
      <c r="E186" s="6" t="s">
        <v>81</v>
      </c>
      <c r="F186" s="6" t="s">
        <v>17</v>
      </c>
      <c r="G186" s="6" t="s">
        <v>54</v>
      </c>
      <c r="H186" s="5">
        <v>45813.914606481485</v>
      </c>
      <c r="I186" s="6" t="s">
        <v>31</v>
      </c>
      <c r="J186" s="5">
        <v>46135.384467592594</v>
      </c>
      <c r="K186" s="6" t="s">
        <v>498</v>
      </c>
      <c r="L186" s="6" t="s">
        <v>32</v>
      </c>
      <c r="M186" s="5"/>
      <c r="N186" s="5" t="s">
        <v>148</v>
      </c>
      <c r="O186" s="45" t="str">
        <f>_xlfn.XLOOKUP(TAB.IDEIAS.TOTAL[[#This Row],[Enviado por]],'BASE DMOS'!A:A,'BASE DMOS'!C:C,"Não encontrado")</f>
        <v>OPERAÇÃO</v>
      </c>
    </row>
    <row r="187" spans="1:15" ht="101.5" x14ac:dyDescent="0.35">
      <c r="A187" s="6" t="s">
        <v>742</v>
      </c>
      <c r="B187" s="6" t="s">
        <v>743</v>
      </c>
      <c r="C187" s="6" t="s">
        <v>184</v>
      </c>
      <c r="D187" s="6" t="s">
        <v>744</v>
      </c>
      <c r="E187" s="6" t="s">
        <v>287</v>
      </c>
      <c r="F187" s="6" t="s">
        <v>17</v>
      </c>
      <c r="G187" s="6" t="s">
        <v>30</v>
      </c>
      <c r="H187" s="5">
        <v>45814.362013888887</v>
      </c>
      <c r="I187" s="6" t="s">
        <v>174</v>
      </c>
      <c r="J187" s="5">
        <v>45847.473819444444</v>
      </c>
      <c r="K187" s="6" t="s">
        <v>90</v>
      </c>
      <c r="L187" s="6" t="s">
        <v>66</v>
      </c>
      <c r="M187" s="5"/>
      <c r="N187" s="14" t="s">
        <v>215</v>
      </c>
      <c r="O187" s="45" t="str">
        <f>_xlfn.XLOOKUP(TAB.IDEIAS.TOTAL[[#This Row],[Enviado por]],'BASE DMOS'!A:A,'BASE DMOS'!C:C,"Não encontrado")</f>
        <v>OPERAÇÃO</v>
      </c>
    </row>
    <row r="188" spans="1:15" ht="72.5" x14ac:dyDescent="0.35">
      <c r="A188" s="6" t="s">
        <v>745</v>
      </c>
      <c r="B188" s="6" t="s">
        <v>746</v>
      </c>
      <c r="C188" s="6" t="s">
        <v>184</v>
      </c>
      <c r="D188" s="6" t="s">
        <v>747</v>
      </c>
      <c r="E188" s="6" t="s">
        <v>287</v>
      </c>
      <c r="F188" s="6" t="s">
        <v>17</v>
      </c>
      <c r="G188" s="6" t="s">
        <v>30</v>
      </c>
      <c r="H188" s="5">
        <v>45814.368888888886</v>
      </c>
      <c r="I188" s="6" t="s">
        <v>50</v>
      </c>
      <c r="J188" s="5">
        <v>46170.403784722221</v>
      </c>
      <c r="K188" s="6" t="s">
        <v>294</v>
      </c>
      <c r="L188" s="6" t="s">
        <v>66</v>
      </c>
      <c r="M188" s="5"/>
      <c r="N188" s="14" t="s">
        <v>215</v>
      </c>
      <c r="O188" s="45" t="str">
        <f>_xlfn.XLOOKUP(TAB.IDEIAS.TOTAL[[#This Row],[Enviado por]],'BASE DMOS'!A:A,'BASE DMOS'!C:C,"Não encontrado")</f>
        <v>OPERAÇÃO</v>
      </c>
    </row>
    <row r="189" spans="1:15" ht="87" x14ac:dyDescent="0.35">
      <c r="A189" s="6" t="s">
        <v>748</v>
      </c>
      <c r="B189" s="6" t="s">
        <v>749</v>
      </c>
      <c r="C189" s="6" t="s">
        <v>148</v>
      </c>
      <c r="D189" s="6" t="s">
        <v>750</v>
      </c>
      <c r="E189" s="6" t="s">
        <v>108</v>
      </c>
      <c r="F189" s="6" t="s">
        <v>17</v>
      </c>
      <c r="G189" s="6" t="s">
        <v>602</v>
      </c>
      <c r="H189" s="5">
        <v>45814.455011574071</v>
      </c>
      <c r="I189" s="6" t="s">
        <v>31</v>
      </c>
      <c r="J189" s="5">
        <v>45964.571817129632</v>
      </c>
      <c r="K189" s="6" t="s">
        <v>65</v>
      </c>
      <c r="L189" s="6" t="s">
        <v>32</v>
      </c>
      <c r="M189" s="5"/>
      <c r="N189" s="5" t="s">
        <v>148</v>
      </c>
      <c r="O189" s="45" t="str">
        <f>_xlfn.XLOOKUP(TAB.IDEIAS.TOTAL[[#This Row],[Enviado por]],'BASE DMOS'!A:A,'BASE DMOS'!C:C,"Não encontrado")</f>
        <v>ADM/TÉCNICO/ASSISTENTE/ESTAG.</v>
      </c>
    </row>
    <row r="190" spans="1:15" ht="58" x14ac:dyDescent="0.35">
      <c r="A190" s="6" t="s">
        <v>751</v>
      </c>
      <c r="B190" s="6" t="s">
        <v>752</v>
      </c>
      <c r="C190" s="6" t="s">
        <v>134</v>
      </c>
      <c r="D190" s="6" t="s">
        <v>753</v>
      </c>
      <c r="E190" s="6" t="s">
        <v>381</v>
      </c>
      <c r="F190" s="6" t="s">
        <v>17</v>
      </c>
      <c r="G190" s="6" t="s">
        <v>18</v>
      </c>
      <c r="H190" s="5">
        <v>45814.979687500003</v>
      </c>
      <c r="I190" s="6" t="s">
        <v>50</v>
      </c>
      <c r="J190" s="5">
        <v>45993.397939814815</v>
      </c>
      <c r="K190" s="6" t="s">
        <v>90</v>
      </c>
      <c r="L190" s="6" t="s">
        <v>66</v>
      </c>
      <c r="M190" s="5">
        <v>45993.397939814815</v>
      </c>
      <c r="N190" s="5" t="s">
        <v>134</v>
      </c>
      <c r="O190" s="45" t="str">
        <f>_xlfn.XLOOKUP(TAB.IDEIAS.TOTAL[[#This Row],[Enviado por]],'BASE DMOS'!A:A,'BASE DMOS'!C:C,"Não encontrado")</f>
        <v>OPERAÇÃO</v>
      </c>
    </row>
    <row r="191" spans="1:15" ht="29" x14ac:dyDescent="0.35">
      <c r="A191" s="6" t="s">
        <v>754</v>
      </c>
      <c r="B191" s="6" t="s">
        <v>755</v>
      </c>
      <c r="C191" s="6" t="s">
        <v>148</v>
      </c>
      <c r="D191" s="6" t="s">
        <v>756</v>
      </c>
      <c r="E191" s="6" t="s">
        <v>381</v>
      </c>
      <c r="F191" s="6" t="s">
        <v>17</v>
      </c>
      <c r="G191" s="6" t="s">
        <v>18</v>
      </c>
      <c r="H191" s="5">
        <v>45817.075162037036</v>
      </c>
      <c r="I191" s="6" t="s">
        <v>31</v>
      </c>
      <c r="J191" s="5">
        <v>46276.560810185183</v>
      </c>
      <c r="K191" s="6" t="s">
        <v>205</v>
      </c>
      <c r="L191" s="6" t="s">
        <v>66</v>
      </c>
      <c r="M191" s="5"/>
      <c r="N191" s="5" t="s">
        <v>148</v>
      </c>
      <c r="O191" s="45" t="str">
        <f>_xlfn.XLOOKUP(TAB.IDEIAS.TOTAL[[#This Row],[Enviado por]],'BASE DMOS'!A:A,'BASE DMOS'!C:C,"Não encontrado")</f>
        <v>OPERAÇÃO</v>
      </c>
    </row>
    <row r="192" spans="1:15" ht="217.5" x14ac:dyDescent="0.35">
      <c r="A192" s="6" t="s">
        <v>757</v>
      </c>
      <c r="B192" s="6" t="s">
        <v>758</v>
      </c>
      <c r="C192" s="6" t="s">
        <v>134</v>
      </c>
      <c r="D192" s="6" t="s">
        <v>759</v>
      </c>
      <c r="E192" s="6" t="s">
        <v>108</v>
      </c>
      <c r="F192" s="6" t="s">
        <v>17</v>
      </c>
      <c r="G192" s="6" t="s">
        <v>61</v>
      </c>
      <c r="H192" s="5">
        <v>45818.482291666667</v>
      </c>
      <c r="I192" s="6" t="s">
        <v>162</v>
      </c>
      <c r="J192" s="5">
        <v>46035.36886574074</v>
      </c>
      <c r="K192" s="6" t="s">
        <v>108</v>
      </c>
      <c r="L192" s="6" t="s">
        <v>163</v>
      </c>
      <c r="M192" s="5">
        <v>46035.36886574074</v>
      </c>
      <c r="N192" s="5" t="s">
        <v>134</v>
      </c>
      <c r="O192" s="45" t="str">
        <f>_xlfn.XLOOKUP(TAB.IDEIAS.TOTAL[[#This Row],[Enviado por]],'BASE DMOS'!A:A,'BASE DMOS'!C:C,"Não encontrado")</f>
        <v>ADM/TÉCNICO/ASSISTENTE/ESTAG.</v>
      </c>
    </row>
    <row r="193" spans="1:15" ht="72.5" x14ac:dyDescent="0.35">
      <c r="A193" s="6" t="s">
        <v>760</v>
      </c>
      <c r="B193" s="6" t="s">
        <v>761</v>
      </c>
      <c r="C193" s="6" t="s">
        <v>15</v>
      </c>
      <c r="D193" s="6" t="s">
        <v>762</v>
      </c>
      <c r="E193" s="6" t="s">
        <v>102</v>
      </c>
      <c r="F193" s="6" t="s">
        <v>17</v>
      </c>
      <c r="G193" s="6" t="s">
        <v>24</v>
      </c>
      <c r="H193" s="5">
        <v>45819.915046296293</v>
      </c>
      <c r="I193" s="6" t="s">
        <v>204</v>
      </c>
      <c r="J193" s="5">
        <v>45820.479675925926</v>
      </c>
      <c r="L193" s="6" t="s">
        <v>163</v>
      </c>
      <c r="M193" s="5">
        <v>45820.479675925926</v>
      </c>
      <c r="N193" s="5" t="s">
        <v>15</v>
      </c>
      <c r="O193" s="45" t="str">
        <f>_xlfn.XLOOKUP(TAB.IDEIAS.TOTAL[[#This Row],[Enviado por]],'BASE DMOS'!A:A,'BASE DMOS'!C:C,"Não encontrado")</f>
        <v>OPERAÇÃO</v>
      </c>
    </row>
    <row r="194" spans="1:15" ht="58" x14ac:dyDescent="0.35">
      <c r="A194" s="6" t="s">
        <v>763</v>
      </c>
      <c r="B194" s="6" t="s">
        <v>764</v>
      </c>
      <c r="C194" s="6" t="s">
        <v>134</v>
      </c>
      <c r="D194" s="6" t="s">
        <v>765</v>
      </c>
      <c r="E194" s="6" t="s">
        <v>90</v>
      </c>
      <c r="F194" s="6" t="s">
        <v>17</v>
      </c>
      <c r="G194" s="6" t="s">
        <v>18</v>
      </c>
      <c r="H194" s="5">
        <v>45820.55914351852</v>
      </c>
      <c r="I194" s="6" t="s">
        <v>50</v>
      </c>
      <c r="J194" s="5">
        <v>45966.369039351855</v>
      </c>
      <c r="K194" s="6" t="s">
        <v>105</v>
      </c>
      <c r="L194" s="6" t="s">
        <v>66</v>
      </c>
      <c r="M194" s="5">
        <v>45966.369039351855</v>
      </c>
      <c r="N194" s="5" t="s">
        <v>134</v>
      </c>
      <c r="O194" s="45" t="str">
        <f>_xlfn.XLOOKUP(TAB.IDEIAS.TOTAL[[#This Row],[Enviado por]],'BASE DMOS'!A:A,'BASE DMOS'!C:C,"Não encontrado")</f>
        <v>OPERAÇÃO</v>
      </c>
    </row>
    <row r="195" spans="1:15" ht="43.5" x14ac:dyDescent="0.35">
      <c r="A195" s="6" t="s">
        <v>766</v>
      </c>
      <c r="B195" s="6" t="s">
        <v>767</v>
      </c>
      <c r="C195" s="6" t="s">
        <v>134</v>
      </c>
      <c r="D195" s="6" t="s">
        <v>767</v>
      </c>
      <c r="E195" s="6" t="s">
        <v>90</v>
      </c>
      <c r="F195" s="6" t="s">
        <v>17</v>
      </c>
      <c r="G195" s="6" t="s">
        <v>18</v>
      </c>
      <c r="H195" s="5">
        <v>45820.639305555553</v>
      </c>
      <c r="I195" s="6" t="s">
        <v>19</v>
      </c>
      <c r="J195" s="5">
        <v>45825.656805555554</v>
      </c>
      <c r="K195" s="6" t="s">
        <v>109</v>
      </c>
      <c r="L195" s="6" t="s">
        <v>20</v>
      </c>
      <c r="M195" s="5">
        <v>45825.656805555554</v>
      </c>
      <c r="N195" s="5" t="s">
        <v>134</v>
      </c>
      <c r="O195" s="45" t="str">
        <f>_xlfn.XLOOKUP(TAB.IDEIAS.TOTAL[[#This Row],[Enviado por]],'BASE DMOS'!A:A,'BASE DMOS'!C:C,"Não encontrado")</f>
        <v>OPERAÇÃO</v>
      </c>
    </row>
    <row r="196" spans="1:15" ht="116" x14ac:dyDescent="0.35">
      <c r="A196" s="6" t="s">
        <v>768</v>
      </c>
      <c r="B196" s="6" t="s">
        <v>769</v>
      </c>
      <c r="C196" s="6" t="s">
        <v>148</v>
      </c>
      <c r="D196" s="6" t="s">
        <v>770</v>
      </c>
      <c r="E196" s="6" t="s">
        <v>53</v>
      </c>
      <c r="F196" s="6" t="s">
        <v>17</v>
      </c>
      <c r="G196" s="6" t="s">
        <v>18</v>
      </c>
      <c r="H196" s="5">
        <v>45821.013240740744</v>
      </c>
      <c r="I196" s="6" t="s">
        <v>36</v>
      </c>
      <c r="J196" s="5">
        <v>46094.683425925927</v>
      </c>
      <c r="K196" s="6" t="s">
        <v>69</v>
      </c>
      <c r="L196" s="6" t="s">
        <v>66</v>
      </c>
      <c r="M196" s="5"/>
      <c r="N196" s="5" t="s">
        <v>148</v>
      </c>
      <c r="O196" s="45" t="str">
        <f>_xlfn.XLOOKUP(TAB.IDEIAS.TOTAL[[#This Row],[Enviado por]],'BASE DMOS'!A:A,'BASE DMOS'!C:C,"Não encontrado")</f>
        <v>OPERAÇÃO</v>
      </c>
    </row>
    <row r="197" spans="1:15" ht="72.5" x14ac:dyDescent="0.35">
      <c r="A197" s="6" t="s">
        <v>771</v>
      </c>
      <c r="B197" s="6" t="s">
        <v>772</v>
      </c>
      <c r="C197" s="6" t="s">
        <v>15</v>
      </c>
      <c r="D197" s="6" t="s">
        <v>773</v>
      </c>
      <c r="E197" s="6" t="s">
        <v>94</v>
      </c>
      <c r="F197" s="6" t="s">
        <v>112</v>
      </c>
      <c r="G197" s="6" t="s">
        <v>61</v>
      </c>
      <c r="H197" s="5">
        <v>45824.198680555557</v>
      </c>
      <c r="I197" s="6" t="s">
        <v>204</v>
      </c>
      <c r="J197" s="5">
        <v>45840.39707175926</v>
      </c>
      <c r="L197" s="6" t="s">
        <v>163</v>
      </c>
      <c r="M197" s="5">
        <v>45840.39707175926</v>
      </c>
      <c r="N197" s="5" t="s">
        <v>15</v>
      </c>
      <c r="O197" s="45" t="str">
        <f>_xlfn.XLOOKUP(TAB.IDEIAS.TOTAL[[#This Row],[Enviado por]],'BASE DMOS'!A:A,'BASE DMOS'!C:C,"Não encontrado")</f>
        <v>OPERAÇÃO</v>
      </c>
    </row>
    <row r="198" spans="1:15" ht="87" x14ac:dyDescent="0.35">
      <c r="A198" s="6" t="s">
        <v>774</v>
      </c>
      <c r="B198" s="6" t="s">
        <v>775</v>
      </c>
      <c r="C198" s="6" t="s">
        <v>134</v>
      </c>
      <c r="D198" s="6" t="s">
        <v>776</v>
      </c>
      <c r="E198" s="6" t="s">
        <v>416</v>
      </c>
      <c r="F198" s="6" t="s">
        <v>17</v>
      </c>
      <c r="G198" s="6" t="s">
        <v>61</v>
      </c>
      <c r="H198" s="5">
        <v>45824.502233796295</v>
      </c>
      <c r="I198" s="6" t="s">
        <v>36</v>
      </c>
      <c r="J198" s="5">
        <v>46045.400925925926</v>
      </c>
      <c r="K198" s="6" t="s">
        <v>108</v>
      </c>
      <c r="L198" s="6" t="s">
        <v>66</v>
      </c>
      <c r="M198" s="5">
        <v>46045.400925925926</v>
      </c>
      <c r="N198" s="5" t="s">
        <v>134</v>
      </c>
      <c r="O198" s="45" t="str">
        <f>_xlfn.XLOOKUP(TAB.IDEIAS.TOTAL[[#This Row],[Enviado por]],'BASE DMOS'!A:A,'BASE DMOS'!C:C,"Não encontrado")</f>
        <v>OPERAÇÃO</v>
      </c>
    </row>
    <row r="199" spans="1:15" ht="29" x14ac:dyDescent="0.35">
      <c r="A199" s="6" t="s">
        <v>777</v>
      </c>
      <c r="B199" s="6" t="s">
        <v>778</v>
      </c>
      <c r="C199" s="6" t="s">
        <v>134</v>
      </c>
      <c r="D199" s="6" t="s">
        <v>779</v>
      </c>
      <c r="E199" s="6" t="s">
        <v>57</v>
      </c>
      <c r="F199" s="6" t="s">
        <v>17</v>
      </c>
      <c r="G199" s="6" t="s">
        <v>18</v>
      </c>
      <c r="H199" s="5">
        <v>45824.547500000001</v>
      </c>
      <c r="I199" s="6" t="s">
        <v>36</v>
      </c>
      <c r="J199" s="5">
        <v>45966.36886574074</v>
      </c>
      <c r="K199" s="6" t="s">
        <v>105</v>
      </c>
      <c r="L199" s="6" t="s">
        <v>66</v>
      </c>
      <c r="M199" s="5">
        <v>45966.36886574074</v>
      </c>
      <c r="N199" s="5" t="s">
        <v>134</v>
      </c>
      <c r="O199" s="45" t="str">
        <f>_xlfn.XLOOKUP(TAB.IDEIAS.TOTAL[[#This Row],[Enviado por]],'BASE DMOS'!A:A,'BASE DMOS'!C:C,"Não encontrado")</f>
        <v>OPERAÇÃO</v>
      </c>
    </row>
    <row r="200" spans="1:15" ht="29" x14ac:dyDescent="0.35">
      <c r="A200" s="6" t="s">
        <v>780</v>
      </c>
      <c r="B200" s="6" t="s">
        <v>781</v>
      </c>
      <c r="C200" s="6" t="s">
        <v>134</v>
      </c>
      <c r="D200" s="6" t="s">
        <v>782</v>
      </c>
      <c r="E200" s="6" t="s">
        <v>53</v>
      </c>
      <c r="F200" s="6" t="s">
        <v>17</v>
      </c>
      <c r="G200" s="6" t="s">
        <v>18</v>
      </c>
      <c r="H200" s="5">
        <v>45826.075416666667</v>
      </c>
      <c r="I200" s="6" t="s">
        <v>36</v>
      </c>
      <c r="J200" s="5">
        <v>45945.365636574075</v>
      </c>
      <c r="K200" s="6" t="s">
        <v>90</v>
      </c>
      <c r="L200" s="6" t="s">
        <v>66</v>
      </c>
      <c r="M200" s="5">
        <v>45945.365636574075</v>
      </c>
      <c r="N200" s="5" t="s">
        <v>134</v>
      </c>
      <c r="O200" s="45" t="str">
        <f>_xlfn.XLOOKUP(TAB.IDEIAS.TOTAL[[#This Row],[Enviado por]],'BASE DMOS'!A:A,'BASE DMOS'!C:C,"Não encontrado")</f>
        <v>OPERAÇÃO</v>
      </c>
    </row>
    <row r="201" spans="1:15" ht="43.5" x14ac:dyDescent="0.35">
      <c r="A201" s="6" t="s">
        <v>783</v>
      </c>
      <c r="B201" s="6" t="s">
        <v>784</v>
      </c>
      <c r="C201" s="6" t="s">
        <v>184</v>
      </c>
      <c r="D201" s="6" t="s">
        <v>785</v>
      </c>
      <c r="E201" s="6" t="s">
        <v>555</v>
      </c>
      <c r="F201" s="6" t="s">
        <v>17</v>
      </c>
      <c r="G201" s="6" t="s">
        <v>602</v>
      </c>
      <c r="H201" s="5">
        <v>45826.403923611113</v>
      </c>
      <c r="I201" s="6" t="s">
        <v>31</v>
      </c>
      <c r="J201" s="5">
        <v>46244.587083333332</v>
      </c>
      <c r="K201" s="6" t="s">
        <v>82</v>
      </c>
      <c r="L201" s="6" t="s">
        <v>66</v>
      </c>
      <c r="M201" s="5"/>
      <c r="N201" s="14" t="s">
        <v>295</v>
      </c>
      <c r="O201" s="45" t="str">
        <f>_xlfn.XLOOKUP(TAB.IDEIAS.TOTAL[[#This Row],[Enviado por]],'BASE DMOS'!A:A,'BASE DMOS'!C:C,"Não encontrado")</f>
        <v>ADM/TÉCNICO/ASSISTENTE/ESTAG.</v>
      </c>
    </row>
    <row r="202" spans="1:15" ht="87" x14ac:dyDescent="0.35">
      <c r="A202" s="6" t="s">
        <v>786</v>
      </c>
      <c r="B202" s="6" t="s">
        <v>787</v>
      </c>
      <c r="C202" s="6" t="s">
        <v>134</v>
      </c>
      <c r="D202" s="6" t="s">
        <v>788</v>
      </c>
      <c r="E202" s="6" t="s">
        <v>256</v>
      </c>
      <c r="F202" s="6" t="s">
        <v>17</v>
      </c>
      <c r="G202" s="6" t="s">
        <v>30</v>
      </c>
      <c r="H202" s="5">
        <v>45826.715289351851</v>
      </c>
      <c r="I202" s="6" t="s">
        <v>50</v>
      </c>
      <c r="J202" s="5">
        <v>46246.384837962964</v>
      </c>
      <c r="K202" s="6" t="s">
        <v>109</v>
      </c>
      <c r="L202" s="6" t="s">
        <v>66</v>
      </c>
      <c r="M202" s="5">
        <v>46246.38484953704</v>
      </c>
      <c r="N202" s="5" t="s">
        <v>134</v>
      </c>
      <c r="O202" s="45" t="str">
        <f>_xlfn.XLOOKUP(TAB.IDEIAS.TOTAL[[#This Row],[Enviado por]],'BASE DMOS'!A:A,'BASE DMOS'!C:C,"Não encontrado")</f>
        <v>OPERAÇÃO</v>
      </c>
    </row>
    <row r="203" spans="1:15" ht="29" x14ac:dyDescent="0.35">
      <c r="A203" s="6" t="s">
        <v>789</v>
      </c>
      <c r="B203" s="6" t="s">
        <v>790</v>
      </c>
      <c r="C203" s="6" t="s">
        <v>184</v>
      </c>
      <c r="D203" s="6" t="s">
        <v>791</v>
      </c>
      <c r="E203" s="6" t="s">
        <v>40</v>
      </c>
      <c r="F203" s="6" t="s">
        <v>17</v>
      </c>
      <c r="G203" s="6" t="s">
        <v>24</v>
      </c>
      <c r="H203" s="5">
        <v>45827.007800925923</v>
      </c>
      <c r="I203" s="6" t="s">
        <v>25</v>
      </c>
      <c r="J203" s="5">
        <v>46276.566377314812</v>
      </c>
      <c r="K203" s="6" t="s">
        <v>252</v>
      </c>
      <c r="L203" s="6" t="s">
        <v>66</v>
      </c>
      <c r="M203" s="5"/>
      <c r="N203" s="14" t="s">
        <v>215</v>
      </c>
      <c r="O203" s="45" t="str">
        <f>_xlfn.XLOOKUP(TAB.IDEIAS.TOTAL[[#This Row],[Enviado por]],'BASE DMOS'!A:A,'BASE DMOS'!C:C,"Não encontrado")</f>
        <v>OPERAÇÃO</v>
      </c>
    </row>
    <row r="204" spans="1:15" ht="29" x14ac:dyDescent="0.35">
      <c r="A204" s="6" t="s">
        <v>792</v>
      </c>
      <c r="B204" s="6" t="s">
        <v>793</v>
      </c>
      <c r="C204" s="6" t="s">
        <v>134</v>
      </c>
      <c r="D204" s="6" t="s">
        <v>794</v>
      </c>
      <c r="E204" s="6" t="s">
        <v>337</v>
      </c>
      <c r="F204" s="6" t="s">
        <v>17</v>
      </c>
      <c r="G204" s="6" t="s">
        <v>24</v>
      </c>
      <c r="H204" s="5">
        <v>45827.454328703701</v>
      </c>
      <c r="I204" s="6" t="s">
        <v>227</v>
      </c>
      <c r="J204" s="5">
        <v>45827.455601851849</v>
      </c>
      <c r="K204" s="6" t="s">
        <v>337</v>
      </c>
      <c r="L204" s="6" t="s">
        <v>228</v>
      </c>
      <c r="M204" s="5">
        <v>45827.455601851849</v>
      </c>
      <c r="N204" s="5" t="s">
        <v>134</v>
      </c>
      <c r="O204" s="45" t="str">
        <f>_xlfn.XLOOKUP(TAB.IDEIAS.TOTAL[[#This Row],[Enviado por]],'BASE DMOS'!A:A,'BASE DMOS'!C:C,"Não encontrado")</f>
        <v>ADM/TÉCNICO/ASSISTENTE/ESTAG.</v>
      </c>
    </row>
    <row r="205" spans="1:15" ht="217.5" x14ac:dyDescent="0.35">
      <c r="A205" s="6" t="s">
        <v>795</v>
      </c>
      <c r="B205" s="6" t="s">
        <v>796</v>
      </c>
      <c r="C205" s="6" t="s">
        <v>134</v>
      </c>
      <c r="D205" s="6" t="s">
        <v>797</v>
      </c>
      <c r="E205" s="6" t="s">
        <v>102</v>
      </c>
      <c r="F205" s="6" t="s">
        <v>17</v>
      </c>
      <c r="G205" s="6" t="s">
        <v>61</v>
      </c>
      <c r="H205" s="5">
        <v>45827.908310185187</v>
      </c>
      <c r="I205" s="6" t="s">
        <v>91</v>
      </c>
      <c r="J205" s="5">
        <v>45910.401469907411</v>
      </c>
      <c r="K205" s="6" t="s">
        <v>29</v>
      </c>
      <c r="L205" s="6" t="s">
        <v>32</v>
      </c>
      <c r="M205" s="5">
        <v>45910.401469907411</v>
      </c>
      <c r="N205" s="5" t="s">
        <v>134</v>
      </c>
      <c r="O205" s="45" t="str">
        <f>_xlfn.XLOOKUP(TAB.IDEIAS.TOTAL[[#This Row],[Enviado por]],'BASE DMOS'!A:A,'BASE DMOS'!C:C,"Não encontrado")</f>
        <v>OPERAÇÃO</v>
      </c>
    </row>
    <row r="206" spans="1:15" ht="29" x14ac:dyDescent="0.35">
      <c r="A206" s="6" t="s">
        <v>798</v>
      </c>
      <c r="B206" s="6" t="s">
        <v>799</v>
      </c>
      <c r="C206" s="6" t="s">
        <v>134</v>
      </c>
      <c r="D206" s="6" t="s">
        <v>800</v>
      </c>
      <c r="E206" s="6" t="s">
        <v>801</v>
      </c>
      <c r="F206" s="6" t="s">
        <v>17</v>
      </c>
      <c r="G206" s="6" t="s">
        <v>24</v>
      </c>
      <c r="H206" s="5">
        <v>45827.910798611112</v>
      </c>
      <c r="I206" s="6" t="s">
        <v>204</v>
      </c>
      <c r="J206" s="5">
        <v>45890.528935185182</v>
      </c>
      <c r="K206" s="6" t="s">
        <v>420</v>
      </c>
      <c r="L206" s="6" t="s">
        <v>163</v>
      </c>
      <c r="M206" s="5">
        <v>45890.528935185182</v>
      </c>
      <c r="N206" s="5" t="s">
        <v>134</v>
      </c>
      <c r="O206" s="45" t="str">
        <f>_xlfn.XLOOKUP(TAB.IDEIAS.TOTAL[[#This Row],[Enviado por]],'BASE DMOS'!A:A,'BASE DMOS'!C:C,"Não encontrado")</f>
        <v>OPERAÇÃO</v>
      </c>
    </row>
    <row r="207" spans="1:15" ht="174" x14ac:dyDescent="0.35">
      <c r="A207" s="6" t="s">
        <v>802</v>
      </c>
      <c r="B207" s="6" t="s">
        <v>803</v>
      </c>
      <c r="C207" s="6" t="s">
        <v>184</v>
      </c>
      <c r="D207" s="6" t="s">
        <v>804</v>
      </c>
      <c r="E207" s="6" t="s">
        <v>127</v>
      </c>
      <c r="F207" s="6" t="s">
        <v>17</v>
      </c>
      <c r="G207" s="6" t="s">
        <v>18</v>
      </c>
      <c r="H207" s="5">
        <v>45829.233391203707</v>
      </c>
      <c r="I207" s="6" t="s">
        <v>50</v>
      </c>
      <c r="J207" s="5">
        <v>46276.567662037036</v>
      </c>
      <c r="K207" s="6" t="s">
        <v>58</v>
      </c>
      <c r="L207" s="6" t="s">
        <v>66</v>
      </c>
      <c r="M207" s="5"/>
      <c r="N207" s="14" t="s">
        <v>374</v>
      </c>
      <c r="O207" s="45" t="str">
        <f>_xlfn.XLOOKUP(TAB.IDEIAS.TOTAL[[#This Row],[Enviado por]],'BASE DMOS'!A:A,'BASE DMOS'!C:C,"Não encontrado")</f>
        <v>ADM/TÉCNICO/ASSISTENTE/ESTAG.</v>
      </c>
    </row>
    <row r="208" spans="1:15" ht="43.5" x14ac:dyDescent="0.35">
      <c r="A208" s="6" t="s">
        <v>805</v>
      </c>
      <c r="B208" s="6" t="s">
        <v>806</v>
      </c>
      <c r="C208" s="6" t="s">
        <v>134</v>
      </c>
      <c r="D208" s="6" t="s">
        <v>807</v>
      </c>
      <c r="E208" s="6" t="s">
        <v>29</v>
      </c>
      <c r="F208" s="6" t="s">
        <v>17</v>
      </c>
      <c r="G208" s="6" t="s">
        <v>61</v>
      </c>
      <c r="H208" s="5">
        <v>45831.36822916667</v>
      </c>
      <c r="I208" s="6" t="s">
        <v>19</v>
      </c>
      <c r="J208" s="5">
        <v>45831.371886574074</v>
      </c>
      <c r="K208" s="6" t="s">
        <v>29</v>
      </c>
      <c r="L208" s="6" t="s">
        <v>20</v>
      </c>
      <c r="M208" s="5">
        <v>45831.371886574074</v>
      </c>
      <c r="N208" s="5" t="s">
        <v>134</v>
      </c>
      <c r="O208" s="45" t="str">
        <f>_xlfn.XLOOKUP(TAB.IDEIAS.TOTAL[[#This Row],[Enviado por]],'BASE DMOS'!A:A,'BASE DMOS'!C:C,"Não encontrado")</f>
        <v>ADM/TÉCNICO/ASSISTENTE/ESTAG.</v>
      </c>
    </row>
    <row r="209" spans="1:15" ht="87" x14ac:dyDescent="0.35">
      <c r="A209" s="6" t="s">
        <v>808</v>
      </c>
      <c r="B209" s="6" t="s">
        <v>809</v>
      </c>
      <c r="C209" s="6" t="s">
        <v>134</v>
      </c>
      <c r="D209" s="6" t="s">
        <v>810</v>
      </c>
      <c r="E209" s="6" t="s">
        <v>622</v>
      </c>
      <c r="F209" s="6" t="s">
        <v>17</v>
      </c>
      <c r="G209" s="6" t="s">
        <v>18</v>
      </c>
      <c r="H209" s="5">
        <v>45831.504675925928</v>
      </c>
      <c r="I209" s="6" t="s">
        <v>332</v>
      </c>
      <c r="J209" s="5">
        <v>45966.368634259263</v>
      </c>
      <c r="K209" s="6" t="s">
        <v>105</v>
      </c>
      <c r="L209" s="6" t="s">
        <v>66</v>
      </c>
      <c r="M209" s="5">
        <v>45966.368634259263</v>
      </c>
      <c r="N209" s="5" t="s">
        <v>134</v>
      </c>
      <c r="O209" s="45" t="str">
        <f>_xlfn.XLOOKUP(TAB.IDEIAS.TOTAL[[#This Row],[Enviado por]],'BASE DMOS'!A:A,'BASE DMOS'!C:C,"Não encontrado")</f>
        <v>OPERAÇÃO</v>
      </c>
    </row>
    <row r="210" spans="1:15" ht="43.5" x14ac:dyDescent="0.35">
      <c r="A210" s="6" t="s">
        <v>811</v>
      </c>
      <c r="B210" s="6" t="s">
        <v>812</v>
      </c>
      <c r="C210" s="6" t="s">
        <v>184</v>
      </c>
      <c r="D210" s="6" t="s">
        <v>813</v>
      </c>
      <c r="E210" s="6" t="s">
        <v>256</v>
      </c>
      <c r="F210" s="6" t="s">
        <v>17</v>
      </c>
      <c r="G210" s="6" t="s">
        <v>61</v>
      </c>
      <c r="H210" s="5">
        <v>45831.661261574074</v>
      </c>
      <c r="I210" s="6" t="s">
        <v>50</v>
      </c>
      <c r="J210" s="5">
        <v>45887.59884259259</v>
      </c>
      <c r="K210" s="6" t="s">
        <v>108</v>
      </c>
      <c r="L210" s="6" t="s">
        <v>66</v>
      </c>
      <c r="M210" s="5"/>
      <c r="N210" s="14" t="s">
        <v>215</v>
      </c>
      <c r="O210" s="45" t="str">
        <f>_xlfn.XLOOKUP(TAB.IDEIAS.TOTAL[[#This Row],[Enviado por]],'BASE DMOS'!A:A,'BASE DMOS'!C:C,"Não encontrado")</f>
        <v>OPERAÇÃO</v>
      </c>
    </row>
    <row r="211" spans="1:15" ht="43.5" x14ac:dyDescent="0.35">
      <c r="A211" s="6" t="s">
        <v>814</v>
      </c>
      <c r="B211" s="6" t="s">
        <v>815</v>
      </c>
      <c r="C211" s="6" t="s">
        <v>148</v>
      </c>
      <c r="D211" s="6" t="s">
        <v>816</v>
      </c>
      <c r="E211" s="6" t="s">
        <v>53</v>
      </c>
      <c r="F211" s="6" t="s">
        <v>17</v>
      </c>
      <c r="G211" s="6" t="s">
        <v>18</v>
      </c>
      <c r="H211" s="5">
        <v>45832.087488425925</v>
      </c>
      <c r="I211" s="6" t="s">
        <v>36</v>
      </c>
      <c r="J211" s="5">
        <v>46035.647094907406</v>
      </c>
      <c r="K211" s="6" t="s">
        <v>69</v>
      </c>
      <c r="L211" s="6" t="s">
        <v>66</v>
      </c>
      <c r="M211" s="5"/>
      <c r="N211" s="5" t="s">
        <v>148</v>
      </c>
      <c r="O211" s="45" t="str">
        <f>_xlfn.XLOOKUP(TAB.IDEIAS.TOTAL[[#This Row],[Enviado por]],'BASE DMOS'!A:A,'BASE DMOS'!C:C,"Não encontrado")</f>
        <v>OPERAÇÃO</v>
      </c>
    </row>
    <row r="212" spans="1:15" ht="72.5" x14ac:dyDescent="0.35">
      <c r="A212" s="6" t="s">
        <v>817</v>
      </c>
      <c r="B212" s="6" t="s">
        <v>818</v>
      </c>
      <c r="C212" s="6" t="s">
        <v>134</v>
      </c>
      <c r="D212" s="6" t="s">
        <v>819</v>
      </c>
      <c r="E212" s="6" t="s">
        <v>53</v>
      </c>
      <c r="F212" s="6" t="s">
        <v>17</v>
      </c>
      <c r="G212" s="6" t="s">
        <v>30</v>
      </c>
      <c r="H212" s="5">
        <v>45832.090462962966</v>
      </c>
      <c r="I212" s="6" t="s">
        <v>50</v>
      </c>
      <c r="J212" s="5">
        <v>45961.429814814815</v>
      </c>
      <c r="K212" s="6" t="s">
        <v>247</v>
      </c>
      <c r="L212" s="6" t="s">
        <v>66</v>
      </c>
      <c r="M212" s="5">
        <v>45961.429814814815</v>
      </c>
      <c r="N212" s="5" t="s">
        <v>134</v>
      </c>
      <c r="O212" s="45" t="str">
        <f>_xlfn.XLOOKUP(TAB.IDEIAS.TOTAL[[#This Row],[Enviado por]],'BASE DMOS'!A:A,'BASE DMOS'!C:C,"Não encontrado")</f>
        <v>OPERAÇÃO</v>
      </c>
    </row>
    <row r="213" spans="1:15" ht="87" x14ac:dyDescent="0.35">
      <c r="A213" s="6" t="s">
        <v>820</v>
      </c>
      <c r="B213" s="6" t="s">
        <v>821</v>
      </c>
      <c r="C213" s="6" t="s">
        <v>148</v>
      </c>
      <c r="D213" s="6" t="s">
        <v>822</v>
      </c>
      <c r="E213" s="6" t="s">
        <v>299</v>
      </c>
      <c r="F213" s="6" t="s">
        <v>17</v>
      </c>
      <c r="G213" s="6" t="s">
        <v>30</v>
      </c>
      <c r="H213" s="5">
        <v>45832.218993055554</v>
      </c>
      <c r="I213" s="6" t="s">
        <v>50</v>
      </c>
      <c r="J213" s="5">
        <v>46094.702118055553</v>
      </c>
      <c r="K213" s="6" t="s">
        <v>69</v>
      </c>
      <c r="L213" s="6" t="s">
        <v>66</v>
      </c>
      <c r="M213" s="5"/>
      <c r="N213" s="5" t="s">
        <v>148</v>
      </c>
      <c r="O213" s="45" t="str">
        <f>_xlfn.XLOOKUP(TAB.IDEIAS.TOTAL[[#This Row],[Enviado por]],'BASE DMOS'!A:A,'BASE DMOS'!C:C,"Não encontrado")</f>
        <v>OPERAÇÃO</v>
      </c>
    </row>
    <row r="214" spans="1:15" ht="29" x14ac:dyDescent="0.35">
      <c r="A214" s="6" t="s">
        <v>823</v>
      </c>
      <c r="B214" s="6" t="s">
        <v>824</v>
      </c>
      <c r="C214" s="6" t="s">
        <v>134</v>
      </c>
      <c r="D214" s="6" t="s">
        <v>825</v>
      </c>
      <c r="E214" s="6" t="s">
        <v>53</v>
      </c>
      <c r="F214" s="6" t="s">
        <v>17</v>
      </c>
      <c r="G214" s="6" t="s">
        <v>18</v>
      </c>
      <c r="H214" s="5">
        <v>45833.936944444446</v>
      </c>
      <c r="I214" s="6" t="s">
        <v>36</v>
      </c>
      <c r="J214" s="5">
        <v>45946.476435185185</v>
      </c>
      <c r="K214" s="6" t="s">
        <v>90</v>
      </c>
      <c r="L214" s="6" t="s">
        <v>66</v>
      </c>
      <c r="M214" s="5">
        <v>45946.476435185185</v>
      </c>
      <c r="N214" s="5" t="s">
        <v>134</v>
      </c>
      <c r="O214" s="45" t="str">
        <f>_xlfn.XLOOKUP(TAB.IDEIAS.TOTAL[[#This Row],[Enviado por]],'BASE DMOS'!A:A,'BASE DMOS'!C:C,"Não encontrado")</f>
        <v>OPERAÇÃO</v>
      </c>
    </row>
    <row r="215" spans="1:15" ht="87" x14ac:dyDescent="0.35">
      <c r="A215" s="6" t="s">
        <v>826</v>
      </c>
      <c r="B215" s="6" t="s">
        <v>827</v>
      </c>
      <c r="C215" s="6" t="s">
        <v>184</v>
      </c>
      <c r="D215" s="6" t="s">
        <v>828</v>
      </c>
      <c r="E215" s="6" t="s">
        <v>53</v>
      </c>
      <c r="F215" s="6" t="s">
        <v>17</v>
      </c>
      <c r="G215" s="6" t="s">
        <v>61</v>
      </c>
      <c r="H215" s="5">
        <v>45836.096817129626</v>
      </c>
      <c r="I215" s="6" t="s">
        <v>36</v>
      </c>
      <c r="J215" s="5">
        <v>45957.571342592593</v>
      </c>
      <c r="K215" s="6" t="s">
        <v>58</v>
      </c>
      <c r="L215" s="6" t="s">
        <v>66</v>
      </c>
      <c r="M215" s="5"/>
      <c r="N215" s="14" t="s">
        <v>392</v>
      </c>
      <c r="O215" s="45" t="str">
        <f>_xlfn.XLOOKUP(TAB.IDEIAS.TOTAL[[#This Row],[Enviado por]],'BASE DMOS'!A:A,'BASE DMOS'!C:C,"Não encontrado")</f>
        <v>OPERAÇÃO</v>
      </c>
    </row>
    <row r="216" spans="1:15" ht="29" x14ac:dyDescent="0.35">
      <c r="A216" s="6" t="s">
        <v>829</v>
      </c>
      <c r="B216" s="6" t="s">
        <v>830</v>
      </c>
      <c r="C216" s="6" t="s">
        <v>134</v>
      </c>
      <c r="D216" s="6" t="s">
        <v>831</v>
      </c>
      <c r="E216" s="6" t="s">
        <v>150</v>
      </c>
      <c r="F216" s="6" t="s">
        <v>17</v>
      </c>
      <c r="G216" s="6" t="s">
        <v>30</v>
      </c>
      <c r="H216" s="5">
        <v>45839.128888888888</v>
      </c>
      <c r="I216" s="6" t="s">
        <v>91</v>
      </c>
      <c r="J216" s="5">
        <v>45961.428912037038</v>
      </c>
      <c r="K216" s="6" t="s">
        <v>355</v>
      </c>
      <c r="L216" s="6" t="s">
        <v>32</v>
      </c>
      <c r="M216" s="5">
        <v>45961.428912037038</v>
      </c>
      <c r="N216" s="5" t="s">
        <v>134</v>
      </c>
      <c r="O216" s="45" t="str">
        <f>_xlfn.XLOOKUP(TAB.IDEIAS.TOTAL[[#This Row],[Enviado por]],'BASE DMOS'!A:A,'BASE DMOS'!C:C,"Não encontrado")</f>
        <v>OPERAÇÃO</v>
      </c>
    </row>
    <row r="217" spans="1:15" ht="58" x14ac:dyDescent="0.35">
      <c r="A217" s="6" t="s">
        <v>832</v>
      </c>
      <c r="B217" s="6" t="s">
        <v>833</v>
      </c>
      <c r="C217" s="6" t="s">
        <v>148</v>
      </c>
      <c r="D217" s="6" t="s">
        <v>834</v>
      </c>
      <c r="E217" s="6" t="s">
        <v>150</v>
      </c>
      <c r="F217" s="6" t="s">
        <v>17</v>
      </c>
      <c r="G217" s="6" t="s">
        <v>54</v>
      </c>
      <c r="H217" s="5">
        <v>45839.134641203702</v>
      </c>
      <c r="I217" s="6" t="s">
        <v>91</v>
      </c>
      <c r="J217" s="5">
        <v>46213.48064814815</v>
      </c>
      <c r="K217" s="6" t="s">
        <v>355</v>
      </c>
      <c r="L217" s="6" t="s">
        <v>66</v>
      </c>
      <c r="M217" s="5"/>
      <c r="N217" s="5" t="s">
        <v>148</v>
      </c>
      <c r="O217" s="45" t="str">
        <f>_xlfn.XLOOKUP(TAB.IDEIAS.TOTAL[[#This Row],[Enviado por]],'BASE DMOS'!A:A,'BASE DMOS'!C:C,"Não encontrado")</f>
        <v>OPERAÇÃO</v>
      </c>
    </row>
    <row r="218" spans="1:15" ht="72.5" x14ac:dyDescent="0.35">
      <c r="A218" s="6" t="s">
        <v>835</v>
      </c>
      <c r="B218" s="6" t="s">
        <v>836</v>
      </c>
      <c r="C218" s="6" t="s">
        <v>15</v>
      </c>
      <c r="D218" s="6" t="s">
        <v>837</v>
      </c>
      <c r="E218" s="6" t="s">
        <v>150</v>
      </c>
      <c r="F218" s="6" t="s">
        <v>17</v>
      </c>
      <c r="G218" s="6" t="s">
        <v>30</v>
      </c>
      <c r="H218" s="5">
        <v>45839.143136574072</v>
      </c>
      <c r="I218" s="6" t="s">
        <v>91</v>
      </c>
      <c r="J218" s="5">
        <v>45853.452962962961</v>
      </c>
      <c r="L218" s="6" t="s">
        <v>32</v>
      </c>
      <c r="M218" s="5">
        <v>45853.452962962961</v>
      </c>
      <c r="N218" s="5" t="s">
        <v>15</v>
      </c>
      <c r="O218" s="45" t="str">
        <f>_xlfn.XLOOKUP(TAB.IDEIAS.TOTAL[[#This Row],[Enviado por]],'BASE DMOS'!A:A,'BASE DMOS'!C:C,"Não encontrado")</f>
        <v>OPERAÇÃO</v>
      </c>
    </row>
    <row r="219" spans="1:15" ht="290" x14ac:dyDescent="0.35">
      <c r="A219" s="6" t="s">
        <v>838</v>
      </c>
      <c r="B219" s="6" t="s">
        <v>839</v>
      </c>
      <c r="C219" s="6" t="s">
        <v>134</v>
      </c>
      <c r="D219" s="6" t="s">
        <v>840</v>
      </c>
      <c r="E219" s="6" t="s">
        <v>102</v>
      </c>
      <c r="F219" s="6" t="s">
        <v>17</v>
      </c>
      <c r="G219" s="6" t="s">
        <v>30</v>
      </c>
      <c r="H219" s="5">
        <v>45839.718657407408</v>
      </c>
      <c r="I219" s="6" t="s">
        <v>91</v>
      </c>
      <c r="J219" s="5">
        <v>46062.60533564815</v>
      </c>
      <c r="K219" s="6" t="s">
        <v>78</v>
      </c>
      <c r="L219" s="6" t="s">
        <v>32</v>
      </c>
      <c r="M219" s="5">
        <v>46062.60533564815</v>
      </c>
      <c r="N219" s="5" t="s">
        <v>134</v>
      </c>
      <c r="O219" s="45" t="str">
        <f>_xlfn.XLOOKUP(TAB.IDEIAS.TOTAL[[#This Row],[Enviado por]],'BASE DMOS'!A:A,'BASE DMOS'!C:C,"Não encontrado")</f>
        <v>OPERAÇÃO</v>
      </c>
    </row>
    <row r="220" spans="1:15" ht="58" x14ac:dyDescent="0.35">
      <c r="A220" s="6" t="s">
        <v>841</v>
      </c>
      <c r="B220" s="6" t="s">
        <v>842</v>
      </c>
      <c r="C220" s="6" t="s">
        <v>15</v>
      </c>
      <c r="D220" s="6" t="s">
        <v>843</v>
      </c>
      <c r="E220" s="6" t="s">
        <v>243</v>
      </c>
      <c r="F220" s="6" t="s">
        <v>17</v>
      </c>
      <c r="G220" s="6" t="s">
        <v>24</v>
      </c>
      <c r="H220" s="5">
        <v>45840.489965277775</v>
      </c>
      <c r="I220" s="6" t="s">
        <v>227</v>
      </c>
      <c r="J220" s="5">
        <v>45986.559537037036</v>
      </c>
      <c r="L220" s="6" t="s">
        <v>228</v>
      </c>
      <c r="M220" s="5">
        <v>45986.559537037036</v>
      </c>
      <c r="N220" s="5" t="s">
        <v>15</v>
      </c>
      <c r="O220" s="45" t="str">
        <f>_xlfn.XLOOKUP(TAB.IDEIAS.TOTAL[[#This Row],[Enviado por]],'BASE DMOS'!A:A,'BASE DMOS'!C:C,"Não encontrado")</f>
        <v>ADM/TÉCNICO/ASSISTENTE/ESTAG.</v>
      </c>
    </row>
    <row r="221" spans="1:15" ht="101.5" x14ac:dyDescent="0.35">
      <c r="A221" s="6" t="s">
        <v>844</v>
      </c>
      <c r="B221" s="6" t="s">
        <v>845</v>
      </c>
      <c r="C221" s="6" t="s">
        <v>184</v>
      </c>
      <c r="D221" s="6" t="s">
        <v>846</v>
      </c>
      <c r="E221" s="6" t="s">
        <v>243</v>
      </c>
      <c r="F221" s="6" t="s">
        <v>17</v>
      </c>
      <c r="G221" s="6" t="s">
        <v>24</v>
      </c>
      <c r="H221" s="5">
        <v>45840.495416666665</v>
      </c>
      <c r="I221" s="6" t="s">
        <v>98</v>
      </c>
      <c r="J221" s="5">
        <v>46276.579201388886</v>
      </c>
      <c r="K221" s="6" t="s">
        <v>243</v>
      </c>
      <c r="L221" s="6" t="s">
        <v>66</v>
      </c>
      <c r="M221" s="5"/>
      <c r="N221" s="14" t="s">
        <v>392</v>
      </c>
      <c r="O221" s="45" t="str">
        <f>_xlfn.XLOOKUP(TAB.IDEIAS.TOTAL[[#This Row],[Enviado por]],'BASE DMOS'!A:A,'BASE DMOS'!C:C,"Não encontrado")</f>
        <v>ADM/TÉCNICO/ASSISTENTE/ESTAG.</v>
      </c>
    </row>
    <row r="222" spans="1:15" ht="116" x14ac:dyDescent="0.35">
      <c r="A222" s="6" t="s">
        <v>847</v>
      </c>
      <c r="B222" s="6" t="s">
        <v>848</v>
      </c>
      <c r="C222" s="6" t="s">
        <v>148</v>
      </c>
      <c r="D222" s="6" t="s">
        <v>849</v>
      </c>
      <c r="E222" s="6" t="s">
        <v>145</v>
      </c>
      <c r="F222" s="6" t="s">
        <v>17</v>
      </c>
      <c r="G222" s="6" t="s">
        <v>24</v>
      </c>
      <c r="H222" s="5">
        <v>45841.387488425928</v>
      </c>
      <c r="I222" s="6" t="s">
        <v>25</v>
      </c>
      <c r="J222" s="5">
        <v>45959.388449074075</v>
      </c>
      <c r="K222" s="6" t="s">
        <v>127</v>
      </c>
      <c r="L222" s="6" t="s">
        <v>26</v>
      </c>
      <c r="M222" s="5"/>
      <c r="N222" s="5" t="s">
        <v>148</v>
      </c>
      <c r="O222" s="45" t="str">
        <f>_xlfn.XLOOKUP(TAB.IDEIAS.TOTAL[[#This Row],[Enviado por]],'BASE DMOS'!A:A,'BASE DMOS'!C:C,"Não encontrado")</f>
        <v>OPERAÇÃO</v>
      </c>
    </row>
    <row r="223" spans="1:15" ht="58" x14ac:dyDescent="0.35">
      <c r="A223" s="6" t="s">
        <v>850</v>
      </c>
      <c r="B223" s="6" t="s">
        <v>851</v>
      </c>
      <c r="C223" s="6" t="s">
        <v>15</v>
      </c>
      <c r="D223" s="6" t="s">
        <v>852</v>
      </c>
      <c r="E223" s="6" t="s">
        <v>16</v>
      </c>
      <c r="F223" s="6" t="s">
        <v>17</v>
      </c>
      <c r="G223" s="6" t="s">
        <v>18</v>
      </c>
      <c r="H223" s="5">
        <v>45841.553067129629</v>
      </c>
      <c r="I223" s="6" t="s">
        <v>31</v>
      </c>
      <c r="J223" s="5">
        <v>45973.62158564815</v>
      </c>
      <c r="L223" s="6" t="s">
        <v>32</v>
      </c>
      <c r="M223" s="5">
        <v>45973.62158564815</v>
      </c>
      <c r="N223" s="5" t="s">
        <v>15</v>
      </c>
      <c r="O223" s="45" t="str">
        <f>_xlfn.XLOOKUP(TAB.IDEIAS.TOTAL[[#This Row],[Enviado por]],'BASE DMOS'!A:A,'BASE DMOS'!C:C,"Não encontrado")</f>
        <v>OPERAÇÃO</v>
      </c>
    </row>
    <row r="224" spans="1:15" ht="43.5" x14ac:dyDescent="0.35">
      <c r="A224" s="6" t="s">
        <v>853</v>
      </c>
      <c r="B224" s="6" t="s">
        <v>854</v>
      </c>
      <c r="C224" s="6" t="s">
        <v>184</v>
      </c>
      <c r="D224" s="6" t="s">
        <v>855</v>
      </c>
      <c r="E224" s="6" t="s">
        <v>256</v>
      </c>
      <c r="F224" s="6" t="s">
        <v>17</v>
      </c>
      <c r="G224" s="6" t="s">
        <v>18</v>
      </c>
      <c r="H224" s="5">
        <v>45841.709085648145</v>
      </c>
      <c r="I224" s="6" t="s">
        <v>332</v>
      </c>
      <c r="J224" s="5">
        <v>45909.767175925925</v>
      </c>
      <c r="K224" s="6" t="s">
        <v>58</v>
      </c>
      <c r="L224" s="6" t="s">
        <v>66</v>
      </c>
      <c r="M224" s="5"/>
      <c r="N224" s="14" t="s">
        <v>186</v>
      </c>
      <c r="O224" s="45" t="str">
        <f>_xlfn.XLOOKUP(TAB.IDEIAS.TOTAL[[#This Row],[Enviado por]],'BASE DMOS'!A:A,'BASE DMOS'!C:C,"Não encontrado")</f>
        <v>OPERAÇÃO</v>
      </c>
    </row>
    <row r="225" spans="1:15" ht="72.5" x14ac:dyDescent="0.35">
      <c r="A225" s="6" t="s">
        <v>856</v>
      </c>
      <c r="B225" s="6" t="s">
        <v>857</v>
      </c>
      <c r="C225" s="6" t="s">
        <v>148</v>
      </c>
      <c r="D225" s="6" t="s">
        <v>858</v>
      </c>
      <c r="E225" s="6" t="s">
        <v>81</v>
      </c>
      <c r="F225" s="6" t="s">
        <v>17</v>
      </c>
      <c r="G225" s="6" t="s">
        <v>18</v>
      </c>
      <c r="H225" s="5">
        <v>45841.884733796294</v>
      </c>
      <c r="I225" s="6" t="s">
        <v>31</v>
      </c>
      <c r="J225" s="5">
        <v>45925.631550925929</v>
      </c>
      <c r="L225" s="6" t="s">
        <v>32</v>
      </c>
      <c r="M225" s="5"/>
      <c r="N225" s="5" t="s">
        <v>148</v>
      </c>
      <c r="O225" s="45" t="str">
        <f>_xlfn.XLOOKUP(TAB.IDEIAS.TOTAL[[#This Row],[Enviado por]],'BASE DMOS'!A:A,'BASE DMOS'!C:C,"Não encontrado")</f>
        <v>OPERAÇÃO</v>
      </c>
    </row>
    <row r="226" spans="1:15" ht="58" x14ac:dyDescent="0.35">
      <c r="A226" s="6" t="s">
        <v>859</v>
      </c>
      <c r="B226" s="6" t="s">
        <v>860</v>
      </c>
      <c r="C226" s="6" t="s">
        <v>861</v>
      </c>
      <c r="D226" s="6" t="s">
        <v>862</v>
      </c>
      <c r="E226" s="6" t="s">
        <v>81</v>
      </c>
      <c r="F226" s="6" t="s">
        <v>112</v>
      </c>
      <c r="G226" s="6" t="s">
        <v>30</v>
      </c>
      <c r="H226" s="5">
        <v>45841.892696759256</v>
      </c>
      <c r="I226" s="6" t="s">
        <v>31</v>
      </c>
      <c r="J226" s="5">
        <v>46203.588703703703</v>
      </c>
      <c r="L226" s="6" t="s">
        <v>66</v>
      </c>
      <c r="M226" s="5"/>
      <c r="N226" s="5" t="s">
        <v>861</v>
      </c>
      <c r="O226" s="45" t="str">
        <f>_xlfn.XLOOKUP(TAB.IDEIAS.TOTAL[[#This Row],[Enviado por]],'BASE DMOS'!A:A,'BASE DMOS'!C:C,"Não encontrado")</f>
        <v>OPERAÇÃO</v>
      </c>
    </row>
    <row r="227" spans="1:15" ht="130.5" x14ac:dyDescent="0.35">
      <c r="A227" s="6" t="s">
        <v>863</v>
      </c>
      <c r="B227" s="6" t="s">
        <v>864</v>
      </c>
      <c r="C227" s="6" t="s">
        <v>148</v>
      </c>
      <c r="D227" s="6" t="s">
        <v>865</v>
      </c>
      <c r="E227" s="6" t="s">
        <v>105</v>
      </c>
      <c r="F227" s="6" t="s">
        <v>17</v>
      </c>
      <c r="G227" s="6" t="s">
        <v>18</v>
      </c>
      <c r="H227" s="5">
        <v>45845.227488425924</v>
      </c>
      <c r="I227" s="6" t="s">
        <v>98</v>
      </c>
      <c r="J227" s="5">
        <v>46206.453263888892</v>
      </c>
      <c r="K227" s="6" t="s">
        <v>294</v>
      </c>
      <c r="L227" s="6" t="s">
        <v>66</v>
      </c>
      <c r="M227" s="5"/>
      <c r="N227" s="5" t="s">
        <v>148</v>
      </c>
      <c r="O227" s="45" t="str">
        <f>_xlfn.XLOOKUP(TAB.IDEIAS.TOTAL[[#This Row],[Enviado por]],'BASE DMOS'!A:A,'BASE DMOS'!C:C,"Não encontrado")</f>
        <v>ADM/TÉCNICO/ASSISTENTE/ESTAG.</v>
      </c>
    </row>
    <row r="228" spans="1:15" ht="29" x14ac:dyDescent="0.35">
      <c r="A228" s="6" t="s">
        <v>866</v>
      </c>
      <c r="B228" s="6" t="s">
        <v>867</v>
      </c>
      <c r="C228" s="6" t="s">
        <v>134</v>
      </c>
      <c r="D228" s="6" t="s">
        <v>868</v>
      </c>
      <c r="E228" s="6" t="s">
        <v>97</v>
      </c>
      <c r="F228" s="6" t="s">
        <v>17</v>
      </c>
      <c r="G228" s="6" t="s">
        <v>61</v>
      </c>
      <c r="H228" s="5">
        <v>45845.496412037035</v>
      </c>
      <c r="I228" s="6" t="s">
        <v>98</v>
      </c>
      <c r="J228" s="5">
        <v>45852.64739583333</v>
      </c>
      <c r="L228" s="6" t="s">
        <v>273</v>
      </c>
      <c r="M228" s="5">
        <v>45852.64739583333</v>
      </c>
      <c r="N228" s="5" t="s">
        <v>134</v>
      </c>
      <c r="O228" s="45" t="str">
        <f>_xlfn.XLOOKUP(TAB.IDEIAS.TOTAL[[#This Row],[Enviado por]],'BASE DMOS'!A:A,'BASE DMOS'!C:C,"Não encontrado")</f>
        <v>ADM/TÉCNICO/ASSISTENTE/ESTAG.</v>
      </c>
    </row>
    <row r="229" spans="1:15" ht="43.5" x14ac:dyDescent="0.35">
      <c r="A229" s="6" t="s">
        <v>869</v>
      </c>
      <c r="B229" s="6" t="s">
        <v>870</v>
      </c>
      <c r="C229" s="6" t="s">
        <v>184</v>
      </c>
      <c r="D229" s="6" t="s">
        <v>871</v>
      </c>
      <c r="E229" s="6" t="s">
        <v>53</v>
      </c>
      <c r="F229" s="6" t="s">
        <v>17</v>
      </c>
      <c r="G229" s="6" t="s">
        <v>602</v>
      </c>
      <c r="H229" s="5">
        <v>45846.120393518519</v>
      </c>
      <c r="I229" s="6" t="s">
        <v>36</v>
      </c>
      <c r="J229" s="5">
        <v>45873.25503472222</v>
      </c>
      <c r="K229" s="6" t="s">
        <v>108</v>
      </c>
      <c r="L229" s="6" t="s">
        <v>66</v>
      </c>
      <c r="M229" s="5"/>
      <c r="N229" s="14" t="s">
        <v>215</v>
      </c>
      <c r="O229" s="45" t="str">
        <f>_xlfn.XLOOKUP(TAB.IDEIAS.TOTAL[[#This Row],[Enviado por]],'BASE DMOS'!A:A,'BASE DMOS'!C:C,"Não encontrado")</f>
        <v>OPERAÇÃO</v>
      </c>
    </row>
    <row r="230" spans="1:15" ht="174" x14ac:dyDescent="0.35">
      <c r="A230" s="6" t="s">
        <v>872</v>
      </c>
      <c r="B230" s="6" t="s">
        <v>873</v>
      </c>
      <c r="C230" s="6" t="s">
        <v>134</v>
      </c>
      <c r="D230" s="6" t="s">
        <v>874</v>
      </c>
      <c r="E230" s="6" t="s">
        <v>105</v>
      </c>
      <c r="F230" s="6" t="s">
        <v>17</v>
      </c>
      <c r="G230" s="6" t="s">
        <v>54</v>
      </c>
      <c r="H230" s="5">
        <v>45846.20380787037</v>
      </c>
      <c r="I230" s="6" t="s">
        <v>25</v>
      </c>
      <c r="J230" s="5">
        <v>45966.368263888886</v>
      </c>
      <c r="K230" s="6" t="s">
        <v>105</v>
      </c>
      <c r="L230" s="6" t="s">
        <v>26</v>
      </c>
      <c r="M230" s="5">
        <v>45966.368263888886</v>
      </c>
      <c r="N230" s="5" t="s">
        <v>134</v>
      </c>
      <c r="O230" s="45" t="str">
        <f>_xlfn.XLOOKUP(TAB.IDEIAS.TOTAL[[#This Row],[Enviado por]],'BASE DMOS'!A:A,'BASE DMOS'!C:C,"Não encontrado")</f>
        <v>ADM/TÉCNICO/ASSISTENTE/ESTAG.</v>
      </c>
    </row>
    <row r="231" spans="1:15" ht="130.5" x14ac:dyDescent="0.35">
      <c r="A231" s="6" t="s">
        <v>875</v>
      </c>
      <c r="B231" s="6" t="s">
        <v>876</v>
      </c>
      <c r="C231" s="6" t="s">
        <v>134</v>
      </c>
      <c r="D231" s="6" t="s">
        <v>877</v>
      </c>
      <c r="E231" s="6" t="s">
        <v>145</v>
      </c>
      <c r="F231" s="6" t="s">
        <v>17</v>
      </c>
      <c r="G231" s="6" t="s">
        <v>18</v>
      </c>
      <c r="H231" s="5">
        <v>45846.3125</v>
      </c>
      <c r="I231" s="6" t="s">
        <v>25</v>
      </c>
      <c r="J231" s="5">
        <v>45866.432581018518</v>
      </c>
      <c r="L231" s="6" t="s">
        <v>26</v>
      </c>
      <c r="M231" s="5">
        <v>45866.432581018518</v>
      </c>
      <c r="N231" s="5" t="s">
        <v>134</v>
      </c>
      <c r="O231" s="45" t="str">
        <f>_xlfn.XLOOKUP(TAB.IDEIAS.TOTAL[[#This Row],[Enviado por]],'BASE DMOS'!A:A,'BASE DMOS'!C:C,"Não encontrado")</f>
        <v>OPERAÇÃO</v>
      </c>
    </row>
    <row r="232" spans="1:15" ht="58" x14ac:dyDescent="0.35">
      <c r="A232" s="6" t="s">
        <v>878</v>
      </c>
      <c r="B232" s="6" t="s">
        <v>879</v>
      </c>
      <c r="C232" s="6" t="s">
        <v>134</v>
      </c>
      <c r="D232" s="6" t="s">
        <v>880</v>
      </c>
      <c r="E232" s="6" t="s">
        <v>197</v>
      </c>
      <c r="F232" s="6" t="s">
        <v>17</v>
      </c>
      <c r="G232" s="6" t="s">
        <v>18</v>
      </c>
      <c r="H232" s="5">
        <v>45846.343912037039</v>
      </c>
      <c r="I232" s="6" t="s">
        <v>25</v>
      </c>
      <c r="J232" s="5">
        <v>45863.402233796296</v>
      </c>
      <c r="L232" s="6" t="s">
        <v>26</v>
      </c>
      <c r="M232" s="5">
        <v>45863.402233796296</v>
      </c>
      <c r="N232" s="5" t="s">
        <v>134</v>
      </c>
      <c r="O232" s="45" t="str">
        <f>_xlfn.XLOOKUP(TAB.IDEIAS.TOTAL[[#This Row],[Enviado por]],'BASE DMOS'!A:A,'BASE DMOS'!C:C,"Não encontrado")</f>
        <v>OPERAÇÃO</v>
      </c>
    </row>
    <row r="233" spans="1:15" ht="43.5" x14ac:dyDescent="0.35">
      <c r="A233" s="6" t="s">
        <v>881</v>
      </c>
      <c r="B233" s="6" t="s">
        <v>882</v>
      </c>
      <c r="C233" s="6" t="s">
        <v>184</v>
      </c>
      <c r="D233" s="6" t="s">
        <v>883</v>
      </c>
      <c r="E233" s="6" t="s">
        <v>120</v>
      </c>
      <c r="F233" s="6" t="s">
        <v>17</v>
      </c>
      <c r="G233" s="6" t="s">
        <v>602</v>
      </c>
      <c r="H233" s="5">
        <v>45846.396886574075</v>
      </c>
      <c r="I233" s="6" t="s">
        <v>31</v>
      </c>
      <c r="J233" s="5">
        <v>46132.775127314817</v>
      </c>
      <c r="K233" s="6" t="s">
        <v>90</v>
      </c>
      <c r="L233" s="6" t="s">
        <v>32</v>
      </c>
      <c r="M233" s="5"/>
      <c r="N233" s="14" t="s">
        <v>295</v>
      </c>
      <c r="O233" s="45" t="str">
        <f>_xlfn.XLOOKUP(TAB.IDEIAS.TOTAL[[#This Row],[Enviado por]],'BASE DMOS'!A:A,'BASE DMOS'!C:C,"Não encontrado")</f>
        <v>OPERAÇÃO</v>
      </c>
    </row>
    <row r="234" spans="1:15" ht="72.5" x14ac:dyDescent="0.35">
      <c r="A234" s="6" t="s">
        <v>884</v>
      </c>
      <c r="B234" s="6" t="s">
        <v>885</v>
      </c>
      <c r="C234" s="6" t="s">
        <v>184</v>
      </c>
      <c r="D234" s="6" t="s">
        <v>886</v>
      </c>
      <c r="E234" s="6" t="s">
        <v>78</v>
      </c>
      <c r="F234" s="6" t="s">
        <v>17</v>
      </c>
      <c r="G234" s="6" t="s">
        <v>30</v>
      </c>
      <c r="H234" s="5">
        <v>45847.491585648146</v>
      </c>
      <c r="I234" s="6" t="s">
        <v>887</v>
      </c>
      <c r="J234" s="5">
        <v>45908.447766203702</v>
      </c>
      <c r="K234" s="6" t="s">
        <v>123</v>
      </c>
      <c r="L234" s="6" t="s">
        <v>163</v>
      </c>
      <c r="M234" s="5"/>
      <c r="N234" s="14" t="s">
        <v>186</v>
      </c>
      <c r="O234" s="45" t="str">
        <f>_xlfn.XLOOKUP(TAB.IDEIAS.TOTAL[[#This Row],[Enviado por]],'BASE DMOS'!A:A,'BASE DMOS'!C:C,"Não encontrado")</f>
        <v>ADM/TÉCNICO/ASSISTENTE/ESTAG.</v>
      </c>
    </row>
    <row r="235" spans="1:15" ht="43.5" x14ac:dyDescent="0.35">
      <c r="A235" s="6" t="s">
        <v>888</v>
      </c>
      <c r="B235" s="6" t="s">
        <v>889</v>
      </c>
      <c r="C235" s="6" t="s">
        <v>15</v>
      </c>
      <c r="D235" s="6" t="s">
        <v>890</v>
      </c>
      <c r="E235" s="6" t="s">
        <v>498</v>
      </c>
      <c r="F235" s="6" t="s">
        <v>17</v>
      </c>
      <c r="G235" s="6" t="s">
        <v>54</v>
      </c>
      <c r="H235" s="5">
        <v>45848.460127314815</v>
      </c>
      <c r="I235" s="6" t="s">
        <v>98</v>
      </c>
      <c r="J235" s="5">
        <v>45853.452824074076</v>
      </c>
      <c r="L235" s="6" t="s">
        <v>273</v>
      </c>
      <c r="M235" s="5">
        <v>45853.452824074076</v>
      </c>
      <c r="N235" s="5" t="s">
        <v>15</v>
      </c>
      <c r="O235" s="45" t="str">
        <f>_xlfn.XLOOKUP(TAB.IDEIAS.TOTAL[[#This Row],[Enviado por]],'BASE DMOS'!A:A,'BASE DMOS'!C:C,"Não encontrado")</f>
        <v>ADM/TÉCNICO/ASSISTENTE/ESTAG.</v>
      </c>
    </row>
    <row r="236" spans="1:15" ht="43.5" x14ac:dyDescent="0.35">
      <c r="A236" s="6" t="s">
        <v>891</v>
      </c>
      <c r="B236" s="6" t="s">
        <v>892</v>
      </c>
      <c r="C236" s="6" t="s">
        <v>134</v>
      </c>
      <c r="D236" s="6" t="s">
        <v>893</v>
      </c>
      <c r="E236" s="6" t="s">
        <v>498</v>
      </c>
      <c r="F236" s="6" t="s">
        <v>17</v>
      </c>
      <c r="G236" s="6" t="s">
        <v>2390</v>
      </c>
      <c r="H236" s="5">
        <v>45848.470636574071</v>
      </c>
      <c r="I236" s="6" t="s">
        <v>98</v>
      </c>
      <c r="J236" s="5">
        <v>45861.55914351852</v>
      </c>
      <c r="K236" s="6" t="s">
        <v>97</v>
      </c>
      <c r="L236" s="6" t="s">
        <v>273</v>
      </c>
      <c r="M236" s="5">
        <v>45861.55914351852</v>
      </c>
      <c r="N236" s="5" t="s">
        <v>134</v>
      </c>
      <c r="O236" s="45" t="str">
        <f>_xlfn.XLOOKUP(TAB.IDEIAS.TOTAL[[#This Row],[Enviado por]],'BASE DMOS'!A:A,'BASE DMOS'!C:C,"Não encontrado")</f>
        <v>ADM/TÉCNICO/ASSISTENTE/ESTAG.</v>
      </c>
    </row>
    <row r="237" spans="1:15" ht="58" x14ac:dyDescent="0.35">
      <c r="A237" s="6" t="s">
        <v>92</v>
      </c>
      <c r="B237" s="6" t="s">
        <v>93</v>
      </c>
      <c r="C237" s="6" t="s">
        <v>15</v>
      </c>
      <c r="D237" s="6" t="s">
        <v>895</v>
      </c>
      <c r="E237" s="6" t="s">
        <v>94</v>
      </c>
      <c r="F237" s="6" t="s">
        <v>17</v>
      </c>
      <c r="G237" s="6" t="s">
        <v>61</v>
      </c>
      <c r="H237" s="5">
        <v>45849.871921296297</v>
      </c>
      <c r="I237" s="6" t="s">
        <v>86</v>
      </c>
      <c r="J237" s="5">
        <v>46120.702719907407</v>
      </c>
      <c r="L237" s="6" t="s">
        <v>87</v>
      </c>
      <c r="M237" s="5">
        <v>46120.702719907407</v>
      </c>
      <c r="N237" s="5" t="s">
        <v>15</v>
      </c>
      <c r="O237" s="45" t="str">
        <f>_xlfn.XLOOKUP(TAB.IDEIAS.TOTAL[[#This Row],[Enviado por]],'BASE DMOS'!A:A,'BASE DMOS'!C:C,"Não encontrado")</f>
        <v>OPERAÇÃO</v>
      </c>
    </row>
    <row r="238" spans="1:15" ht="58" x14ac:dyDescent="0.35">
      <c r="A238" s="6" t="s">
        <v>896</v>
      </c>
      <c r="B238" s="6" t="s">
        <v>897</v>
      </c>
      <c r="C238" s="6" t="s">
        <v>15</v>
      </c>
      <c r="D238" s="6" t="s">
        <v>898</v>
      </c>
      <c r="E238" s="6" t="s">
        <v>494</v>
      </c>
      <c r="F238" s="6" t="s">
        <v>112</v>
      </c>
      <c r="G238" s="6" t="s">
        <v>18</v>
      </c>
      <c r="H238" s="5">
        <v>45850.379444444443</v>
      </c>
      <c r="I238" s="6" t="s">
        <v>899</v>
      </c>
      <c r="J238" s="5">
        <v>45850.587164351855</v>
      </c>
      <c r="L238" s="6" t="s">
        <v>32</v>
      </c>
      <c r="M238" s="5">
        <v>45850.587164351855</v>
      </c>
      <c r="N238" s="5" t="s">
        <v>15</v>
      </c>
      <c r="O238" s="45" t="str">
        <f>_xlfn.XLOOKUP(TAB.IDEIAS.TOTAL[[#This Row],[Enviado por]],'BASE DMOS'!A:A,'BASE DMOS'!C:C,"Não encontrado")</f>
        <v>OPERAÇÃO</v>
      </c>
    </row>
    <row r="239" spans="1:15" ht="43.5" x14ac:dyDescent="0.35">
      <c r="A239" s="6" t="s">
        <v>900</v>
      </c>
      <c r="B239" s="6" t="s">
        <v>901</v>
      </c>
      <c r="C239" s="6" t="s">
        <v>134</v>
      </c>
      <c r="D239" s="6" t="s">
        <v>902</v>
      </c>
      <c r="E239" s="6" t="s">
        <v>903</v>
      </c>
      <c r="F239" s="6" t="s">
        <v>17</v>
      </c>
      <c r="G239" s="6" t="s">
        <v>61</v>
      </c>
      <c r="H239" s="5">
        <v>45850.439849537041</v>
      </c>
      <c r="I239" s="6" t="s">
        <v>50</v>
      </c>
      <c r="J239" s="5">
        <v>45866.43273148148</v>
      </c>
      <c r="L239" s="6" t="s">
        <v>66</v>
      </c>
      <c r="M239" s="5">
        <v>45866.43273148148</v>
      </c>
      <c r="N239" s="5" t="s">
        <v>134</v>
      </c>
      <c r="O239" s="45" t="str">
        <f>_xlfn.XLOOKUP(TAB.IDEIAS.TOTAL[[#This Row],[Enviado por]],'BASE DMOS'!A:A,'BASE DMOS'!C:C,"Não encontrado")</f>
        <v>ADM/TÉCNICO/ASSISTENTE/ESTAG.</v>
      </c>
    </row>
    <row r="240" spans="1:15" ht="72.5" x14ac:dyDescent="0.35">
      <c r="A240" s="6" t="s">
        <v>904</v>
      </c>
      <c r="B240" s="6" t="s">
        <v>905</v>
      </c>
      <c r="C240" s="6" t="s">
        <v>134</v>
      </c>
      <c r="D240" s="6" t="s">
        <v>906</v>
      </c>
      <c r="E240" s="6" t="s">
        <v>77</v>
      </c>
      <c r="F240" s="6" t="s">
        <v>17</v>
      </c>
      <c r="G240" s="6" t="s">
        <v>24</v>
      </c>
      <c r="H240" s="5">
        <v>45852.704791666663</v>
      </c>
      <c r="I240" s="6" t="s">
        <v>19</v>
      </c>
      <c r="J240" s="5">
        <v>45866.456770833334</v>
      </c>
      <c r="L240" s="6" t="s">
        <v>20</v>
      </c>
      <c r="M240" s="5">
        <v>45866.456770833334</v>
      </c>
      <c r="N240" s="5" t="s">
        <v>134</v>
      </c>
      <c r="O240" s="45" t="str">
        <f>_xlfn.XLOOKUP(TAB.IDEIAS.TOTAL[[#This Row],[Enviado por]],'BASE DMOS'!A:A,'BASE DMOS'!C:C,"Não encontrado")</f>
        <v>OPERAÇÃO</v>
      </c>
    </row>
    <row r="241" spans="1:15" ht="101.5" x14ac:dyDescent="0.35">
      <c r="A241" s="6" t="s">
        <v>907</v>
      </c>
      <c r="B241" s="6" t="s">
        <v>908</v>
      </c>
      <c r="C241" s="6" t="s">
        <v>134</v>
      </c>
      <c r="D241" s="6" t="s">
        <v>909</v>
      </c>
      <c r="E241" s="6" t="s">
        <v>145</v>
      </c>
      <c r="F241" s="6" t="s">
        <v>17</v>
      </c>
      <c r="G241" s="6" t="s">
        <v>61</v>
      </c>
      <c r="H241" s="5">
        <v>45853.307627314818</v>
      </c>
      <c r="I241" s="6" t="s">
        <v>25</v>
      </c>
      <c r="J241" s="5">
        <v>45884.34710648148</v>
      </c>
      <c r="K241" s="6" t="s">
        <v>29</v>
      </c>
      <c r="L241" s="6" t="s">
        <v>26</v>
      </c>
      <c r="M241" s="5">
        <v>45884.34710648148</v>
      </c>
      <c r="N241" s="5" t="s">
        <v>134</v>
      </c>
      <c r="O241" s="45" t="str">
        <f>_xlfn.XLOOKUP(TAB.IDEIAS.TOTAL[[#This Row],[Enviado por]],'BASE DMOS'!A:A,'BASE DMOS'!C:C,"Não encontrado")</f>
        <v>OPERAÇÃO</v>
      </c>
    </row>
    <row r="242" spans="1:15" ht="406" x14ac:dyDescent="0.35">
      <c r="A242" s="6" t="s">
        <v>910</v>
      </c>
      <c r="B242" s="6" t="s">
        <v>911</v>
      </c>
      <c r="C242" s="6" t="s">
        <v>184</v>
      </c>
      <c r="D242" s="6" t="s">
        <v>912</v>
      </c>
      <c r="E242" s="6" t="s">
        <v>102</v>
      </c>
      <c r="F242" s="6" t="s">
        <v>17</v>
      </c>
      <c r="G242" s="6" t="s">
        <v>54</v>
      </c>
      <c r="H242" s="5">
        <v>45853.734837962962</v>
      </c>
      <c r="I242" s="6" t="s">
        <v>91</v>
      </c>
      <c r="J242" s="5">
        <v>46104.554918981485</v>
      </c>
      <c r="K242" s="6" t="s">
        <v>78</v>
      </c>
      <c r="L242" s="6" t="s">
        <v>32</v>
      </c>
      <c r="M242" s="5"/>
      <c r="N242" s="43" t="s">
        <v>186</v>
      </c>
      <c r="O242" s="45" t="str">
        <f>_xlfn.XLOOKUP(TAB.IDEIAS.TOTAL[[#This Row],[Enviado por]],'BASE DMOS'!A:A,'BASE DMOS'!C:C,"Não encontrado")</f>
        <v>OPERAÇÃO</v>
      </c>
    </row>
    <row r="243" spans="1:15" ht="159.5" x14ac:dyDescent="0.35">
      <c r="A243" s="6" t="s">
        <v>913</v>
      </c>
      <c r="B243" s="6" t="s">
        <v>914</v>
      </c>
      <c r="C243" s="6" t="s">
        <v>184</v>
      </c>
      <c r="D243" s="6" t="s">
        <v>915</v>
      </c>
      <c r="E243" s="6" t="s">
        <v>916</v>
      </c>
      <c r="F243" s="6" t="s">
        <v>17</v>
      </c>
      <c r="G243" s="6" t="s">
        <v>30</v>
      </c>
      <c r="H243" s="5">
        <v>45854.706967592596</v>
      </c>
      <c r="I243" s="6" t="s">
        <v>91</v>
      </c>
      <c r="J243" s="5">
        <v>46091.452731481484</v>
      </c>
      <c r="K243" s="6" t="s">
        <v>78</v>
      </c>
      <c r="L243" s="6" t="s">
        <v>32</v>
      </c>
      <c r="M243" s="5"/>
      <c r="N243" s="14" t="s">
        <v>392</v>
      </c>
      <c r="O243" s="45" t="str">
        <f>_xlfn.XLOOKUP(TAB.IDEIAS.TOTAL[[#This Row],[Enviado por]],'BASE DMOS'!A:A,'BASE DMOS'!C:C,"Não encontrado")</f>
        <v>OPERAÇÃO</v>
      </c>
    </row>
    <row r="244" spans="1:15" ht="43.5" x14ac:dyDescent="0.35">
      <c r="A244" s="6" t="s">
        <v>917</v>
      </c>
      <c r="B244" s="6" t="s">
        <v>918</v>
      </c>
      <c r="C244" s="6" t="s">
        <v>148</v>
      </c>
      <c r="D244" s="6" t="s">
        <v>919</v>
      </c>
      <c r="E244" s="6" t="s">
        <v>222</v>
      </c>
      <c r="F244" s="6" t="s">
        <v>17</v>
      </c>
      <c r="G244" s="6" t="s">
        <v>18</v>
      </c>
      <c r="H244" s="5">
        <v>45855.435798611114</v>
      </c>
      <c r="I244" s="6" t="s">
        <v>204</v>
      </c>
      <c r="J244" s="5">
        <v>46097.626921296294</v>
      </c>
      <c r="L244" s="6" t="s">
        <v>163</v>
      </c>
      <c r="M244" s="5"/>
      <c r="N244" s="5" t="s">
        <v>148</v>
      </c>
      <c r="O244" s="45" t="str">
        <f>_xlfn.XLOOKUP(TAB.IDEIAS.TOTAL[[#This Row],[Enviado por]],'BASE DMOS'!A:A,'BASE DMOS'!C:C,"Não encontrado")</f>
        <v>OPERAÇÃO</v>
      </c>
    </row>
    <row r="245" spans="1:15" ht="29" x14ac:dyDescent="0.35">
      <c r="A245" s="6" t="s">
        <v>920</v>
      </c>
      <c r="B245" s="6" t="s">
        <v>921</v>
      </c>
      <c r="C245" s="6" t="s">
        <v>148</v>
      </c>
      <c r="D245" s="6" t="s">
        <v>922</v>
      </c>
      <c r="E245" s="6" t="s">
        <v>222</v>
      </c>
      <c r="F245" s="6" t="s">
        <v>17</v>
      </c>
      <c r="G245" s="6" t="s">
        <v>61</v>
      </c>
      <c r="H245" s="5">
        <v>45855.438287037039</v>
      </c>
      <c r="I245" s="6" t="s">
        <v>204</v>
      </c>
      <c r="J245" s="5">
        <v>46205.582592592589</v>
      </c>
      <c r="K245" s="6" t="s">
        <v>117</v>
      </c>
      <c r="L245" s="6" t="s">
        <v>66</v>
      </c>
      <c r="M245" s="5"/>
      <c r="N245" s="5" t="s">
        <v>148</v>
      </c>
      <c r="O245" s="45" t="str">
        <f>_xlfn.XLOOKUP(TAB.IDEIAS.TOTAL[[#This Row],[Enviado por]],'BASE DMOS'!A:A,'BASE DMOS'!C:C,"Não encontrado")</f>
        <v>OPERAÇÃO</v>
      </c>
    </row>
    <row r="246" spans="1:15" ht="43.5" x14ac:dyDescent="0.35">
      <c r="A246" s="6" t="s">
        <v>923</v>
      </c>
      <c r="B246" s="6" t="s">
        <v>924</v>
      </c>
      <c r="C246" s="6" t="s">
        <v>184</v>
      </c>
      <c r="D246" s="6" t="s">
        <v>925</v>
      </c>
      <c r="E246" s="6" t="s">
        <v>222</v>
      </c>
      <c r="F246" s="6" t="s">
        <v>17</v>
      </c>
      <c r="G246" s="6" t="s">
        <v>61</v>
      </c>
      <c r="H246" s="5">
        <v>45855.441631944443</v>
      </c>
      <c r="I246" s="6" t="s">
        <v>204</v>
      </c>
      <c r="J246" s="5">
        <v>46132.740173611113</v>
      </c>
      <c r="K246" s="6" t="s">
        <v>117</v>
      </c>
      <c r="L246" s="6" t="s">
        <v>163</v>
      </c>
      <c r="M246" s="5"/>
      <c r="N246" s="43" t="s">
        <v>186</v>
      </c>
      <c r="O246" s="45" t="str">
        <f>_xlfn.XLOOKUP(TAB.IDEIAS.TOTAL[[#This Row],[Enviado por]],'BASE DMOS'!A:A,'BASE DMOS'!C:C,"Não encontrado")</f>
        <v>OPERAÇÃO</v>
      </c>
    </row>
    <row r="247" spans="1:15" ht="101.5" x14ac:dyDescent="0.35">
      <c r="A247" s="6" t="s">
        <v>926</v>
      </c>
      <c r="B247" s="6" t="s">
        <v>927</v>
      </c>
      <c r="C247" s="6" t="s">
        <v>15</v>
      </c>
      <c r="D247" s="6" t="s">
        <v>928</v>
      </c>
      <c r="E247" s="6" t="s">
        <v>222</v>
      </c>
      <c r="F247" s="6" t="s">
        <v>17</v>
      </c>
      <c r="G247" s="6" t="s">
        <v>24</v>
      </c>
      <c r="H247" s="5">
        <v>45855.445393518516</v>
      </c>
      <c r="I247" s="6" t="s">
        <v>204</v>
      </c>
      <c r="J247" s="5">
        <v>45862.389756944445</v>
      </c>
      <c r="L247" s="6" t="s">
        <v>163</v>
      </c>
      <c r="M247" s="5">
        <v>45862.389756944445</v>
      </c>
      <c r="N247" s="5" t="s">
        <v>15</v>
      </c>
      <c r="O247" s="45" t="str">
        <f>_xlfn.XLOOKUP(TAB.IDEIAS.TOTAL[[#This Row],[Enviado por]],'BASE DMOS'!A:A,'BASE DMOS'!C:C,"Não encontrado")</f>
        <v>OPERAÇÃO</v>
      </c>
    </row>
    <row r="248" spans="1:15" ht="43.5" x14ac:dyDescent="0.35">
      <c r="A248" s="6" t="s">
        <v>929</v>
      </c>
      <c r="B248" s="6" t="s">
        <v>930</v>
      </c>
      <c r="C248" s="6" t="s">
        <v>148</v>
      </c>
      <c r="D248" s="6" t="s">
        <v>931</v>
      </c>
      <c r="E248" s="6" t="s">
        <v>127</v>
      </c>
      <c r="F248" s="6" t="s">
        <v>17</v>
      </c>
      <c r="G248" s="6" t="s">
        <v>18</v>
      </c>
      <c r="H248" s="5">
        <v>45860.112337962964</v>
      </c>
      <c r="I248" s="6" t="s">
        <v>50</v>
      </c>
      <c r="J248" s="5">
        <v>45961.653055555558</v>
      </c>
      <c r="K248" s="6" t="s">
        <v>58</v>
      </c>
      <c r="L248" s="6" t="s">
        <v>66</v>
      </c>
      <c r="M248" s="5"/>
      <c r="N248" s="5" t="s">
        <v>148</v>
      </c>
      <c r="O248" s="45" t="str">
        <f>_xlfn.XLOOKUP(TAB.IDEIAS.TOTAL[[#This Row],[Enviado por]],'BASE DMOS'!A:A,'BASE DMOS'!C:C,"Não encontrado")</f>
        <v>ADM/TÉCNICO/ASSISTENTE/ESTAG.</v>
      </c>
    </row>
    <row r="249" spans="1:15" ht="72.5" x14ac:dyDescent="0.35">
      <c r="A249" s="6" t="s">
        <v>932</v>
      </c>
      <c r="B249" s="6" t="s">
        <v>933</v>
      </c>
      <c r="C249" s="6" t="s">
        <v>184</v>
      </c>
      <c r="D249" s="6" t="s">
        <v>934</v>
      </c>
      <c r="E249" s="6" t="s">
        <v>49</v>
      </c>
      <c r="F249" s="6" t="s">
        <v>17</v>
      </c>
      <c r="G249" s="6" t="s">
        <v>24</v>
      </c>
      <c r="H249" s="5">
        <v>45860.967037037037</v>
      </c>
      <c r="I249" s="6" t="s">
        <v>50</v>
      </c>
      <c r="J249" s="5">
        <v>46051.571851851855</v>
      </c>
      <c r="K249" s="6" t="s">
        <v>29</v>
      </c>
      <c r="L249" s="6" t="s">
        <v>66</v>
      </c>
      <c r="M249" s="5"/>
      <c r="N249" s="14" t="s">
        <v>215</v>
      </c>
      <c r="O249" s="45" t="str">
        <f>_xlfn.XLOOKUP(TAB.IDEIAS.TOTAL[[#This Row],[Enviado por]],'BASE DMOS'!A:A,'BASE DMOS'!C:C,"Não encontrado")</f>
        <v>OPERAÇÃO</v>
      </c>
    </row>
    <row r="250" spans="1:15" ht="87" x14ac:dyDescent="0.35">
      <c r="A250" s="6" t="s">
        <v>935</v>
      </c>
      <c r="B250" s="6" t="s">
        <v>936</v>
      </c>
      <c r="C250" s="6" t="s">
        <v>15</v>
      </c>
      <c r="D250" s="6" t="s">
        <v>937</v>
      </c>
      <c r="E250" s="6" t="s">
        <v>222</v>
      </c>
      <c r="F250" s="6" t="s">
        <v>17</v>
      </c>
      <c r="G250" s="6" t="s">
        <v>24</v>
      </c>
      <c r="H250" s="5">
        <v>45861.507060185184</v>
      </c>
      <c r="I250" s="6" t="s">
        <v>204</v>
      </c>
      <c r="J250" s="5">
        <v>45910.446805555555</v>
      </c>
      <c r="L250" s="6" t="s">
        <v>163</v>
      </c>
      <c r="M250" s="5">
        <v>45910.446805555555</v>
      </c>
      <c r="N250" s="5" t="s">
        <v>15</v>
      </c>
      <c r="O250" s="45" t="str">
        <f>_xlfn.XLOOKUP(TAB.IDEIAS.TOTAL[[#This Row],[Enviado por]],'BASE DMOS'!A:A,'BASE DMOS'!C:C,"Não encontrado")</f>
        <v>OPERAÇÃO</v>
      </c>
    </row>
    <row r="251" spans="1:15" ht="29" x14ac:dyDescent="0.35">
      <c r="A251" s="6" t="s">
        <v>47</v>
      </c>
      <c r="B251" s="6" t="s">
        <v>48</v>
      </c>
      <c r="C251" s="6" t="s">
        <v>148</v>
      </c>
      <c r="D251" s="6" t="s">
        <v>938</v>
      </c>
      <c r="E251" s="6" t="s">
        <v>49</v>
      </c>
      <c r="F251" s="6" t="s">
        <v>17</v>
      </c>
      <c r="G251" s="6" t="s">
        <v>24</v>
      </c>
      <c r="H251" s="5">
        <v>45862.09480324074</v>
      </c>
      <c r="I251" s="6" t="s">
        <v>50</v>
      </c>
      <c r="J251" s="5">
        <v>45933.42864583333</v>
      </c>
      <c r="L251" s="6" t="s">
        <v>66</v>
      </c>
      <c r="M251" s="5"/>
      <c r="N251" s="5" t="s">
        <v>148</v>
      </c>
      <c r="O251" s="45" t="str">
        <f>_xlfn.XLOOKUP(TAB.IDEIAS.TOTAL[[#This Row],[Enviado por]],'BASE DMOS'!A:A,'BASE DMOS'!C:C,"Não encontrado")</f>
        <v>OPERAÇÃO</v>
      </c>
    </row>
    <row r="252" spans="1:15" ht="29" x14ac:dyDescent="0.35">
      <c r="A252" s="6" t="s">
        <v>939</v>
      </c>
      <c r="B252" s="6" t="s">
        <v>940</v>
      </c>
      <c r="C252" s="6" t="s">
        <v>148</v>
      </c>
      <c r="D252" s="6" t="s">
        <v>941</v>
      </c>
      <c r="E252" s="6" t="s">
        <v>120</v>
      </c>
      <c r="F252" s="6" t="s">
        <v>17</v>
      </c>
      <c r="G252" s="6" t="s">
        <v>30</v>
      </c>
      <c r="H252" s="5">
        <v>45862.414189814815</v>
      </c>
      <c r="I252" s="6" t="s">
        <v>31</v>
      </c>
      <c r="J252" s="5">
        <v>46210.59710648148</v>
      </c>
      <c r="K252" s="6" t="s">
        <v>637</v>
      </c>
      <c r="L252" s="6" t="s">
        <v>66</v>
      </c>
      <c r="M252" s="5"/>
      <c r="N252" s="5" t="s">
        <v>148</v>
      </c>
      <c r="O252" s="45" t="str">
        <f>_xlfn.XLOOKUP(TAB.IDEIAS.TOTAL[[#This Row],[Enviado por]],'BASE DMOS'!A:A,'BASE DMOS'!C:C,"Não encontrado")</f>
        <v>OPERAÇÃO</v>
      </c>
    </row>
    <row r="253" spans="1:15" ht="159.5" x14ac:dyDescent="0.35">
      <c r="A253" s="6" t="s">
        <v>942</v>
      </c>
      <c r="B253" s="6" t="s">
        <v>943</v>
      </c>
      <c r="C253" s="6" t="s">
        <v>148</v>
      </c>
      <c r="D253" s="6" t="s">
        <v>944</v>
      </c>
      <c r="E253" s="6" t="s">
        <v>299</v>
      </c>
      <c r="F253" s="6" t="s">
        <v>17</v>
      </c>
      <c r="G253" s="6" t="s">
        <v>18</v>
      </c>
      <c r="H253" s="5">
        <v>45863.224386574075</v>
      </c>
      <c r="I253" s="6" t="s">
        <v>50</v>
      </c>
      <c r="J253" s="5">
        <v>46211.433495370373</v>
      </c>
      <c r="K253" s="6" t="s">
        <v>58</v>
      </c>
      <c r="L253" s="6" t="s">
        <v>66</v>
      </c>
      <c r="M253" s="5"/>
      <c r="N253" s="5" t="s">
        <v>148</v>
      </c>
      <c r="O253" s="45" t="str">
        <f>_xlfn.XLOOKUP(TAB.IDEIAS.TOTAL[[#This Row],[Enviado por]],'BASE DMOS'!A:A,'BASE DMOS'!C:C,"Não encontrado")</f>
        <v>OPERAÇÃO</v>
      </c>
    </row>
    <row r="254" spans="1:15" ht="29" x14ac:dyDescent="0.35">
      <c r="A254" s="6" t="s">
        <v>945</v>
      </c>
      <c r="B254" s="6" t="s">
        <v>946</v>
      </c>
      <c r="C254" s="6" t="s">
        <v>148</v>
      </c>
      <c r="D254" s="6" t="s">
        <v>947</v>
      </c>
      <c r="E254" s="6" t="s">
        <v>150</v>
      </c>
      <c r="F254" s="6" t="s">
        <v>17</v>
      </c>
      <c r="G254" s="6" t="s">
        <v>61</v>
      </c>
      <c r="H254" s="5">
        <v>45863.243333333332</v>
      </c>
      <c r="I254" s="6" t="s">
        <v>242</v>
      </c>
      <c r="J254" s="5">
        <v>45966.366944444446</v>
      </c>
      <c r="K254" s="6" t="s">
        <v>105</v>
      </c>
      <c r="L254" s="6" t="s">
        <v>32</v>
      </c>
      <c r="M254" s="5"/>
      <c r="N254" s="5" t="s">
        <v>148</v>
      </c>
      <c r="O254" s="45" t="str">
        <f>_xlfn.XLOOKUP(TAB.IDEIAS.TOTAL[[#This Row],[Enviado por]],'BASE DMOS'!A:A,'BASE DMOS'!C:C,"Não encontrado")</f>
        <v>OPERAÇÃO</v>
      </c>
    </row>
    <row r="255" spans="1:15" ht="29" x14ac:dyDescent="0.35">
      <c r="A255" s="6" t="s">
        <v>948</v>
      </c>
      <c r="B255" s="6" t="s">
        <v>949</v>
      </c>
      <c r="C255" s="6" t="s">
        <v>15</v>
      </c>
      <c r="D255" s="6" t="s">
        <v>950</v>
      </c>
      <c r="E255" s="6" t="s">
        <v>629</v>
      </c>
      <c r="F255" s="6" t="s">
        <v>17</v>
      </c>
      <c r="G255" s="6" t="s">
        <v>61</v>
      </c>
      <c r="H255" s="5">
        <v>45863.853865740741</v>
      </c>
      <c r="I255" s="6" t="s">
        <v>227</v>
      </c>
      <c r="J255" s="5">
        <v>45959.445092592592</v>
      </c>
      <c r="L255" s="6" t="s">
        <v>228</v>
      </c>
      <c r="M255" s="5">
        <v>45959.445092592592</v>
      </c>
      <c r="N255" s="5" t="s">
        <v>15</v>
      </c>
      <c r="O255" s="45" t="str">
        <f>_xlfn.XLOOKUP(TAB.IDEIAS.TOTAL[[#This Row],[Enviado por]],'BASE DMOS'!A:A,'BASE DMOS'!C:C,"Não encontrado")</f>
        <v>OPERAÇÃO</v>
      </c>
    </row>
    <row r="256" spans="1:15" ht="116" x14ac:dyDescent="0.35">
      <c r="A256" s="6" t="s">
        <v>951</v>
      </c>
      <c r="B256" s="6" t="s">
        <v>952</v>
      </c>
      <c r="C256" s="6" t="s">
        <v>148</v>
      </c>
      <c r="D256" s="6" t="s">
        <v>953</v>
      </c>
      <c r="E256" s="6" t="s">
        <v>954</v>
      </c>
      <c r="F256" s="6" t="s">
        <v>17</v>
      </c>
      <c r="G256" s="6" t="s">
        <v>24</v>
      </c>
      <c r="H256" s="5">
        <v>45866.053217592591</v>
      </c>
      <c r="I256" s="6" t="s">
        <v>204</v>
      </c>
      <c r="J256" s="5">
        <v>46041.387233796297</v>
      </c>
      <c r="K256" s="6" t="s">
        <v>688</v>
      </c>
      <c r="L256" s="6" t="s">
        <v>163</v>
      </c>
      <c r="M256" s="5"/>
      <c r="N256" s="5" t="s">
        <v>148</v>
      </c>
      <c r="O256" s="45" t="str">
        <f>_xlfn.XLOOKUP(TAB.IDEIAS.TOTAL[[#This Row],[Enviado por]],'BASE DMOS'!A:A,'BASE DMOS'!C:C,"Não encontrado")</f>
        <v>OPERAÇÃO</v>
      </c>
    </row>
    <row r="257" spans="1:16" ht="72.5" x14ac:dyDescent="0.35">
      <c r="A257" s="6" t="s">
        <v>955</v>
      </c>
      <c r="B257" s="6" t="s">
        <v>956</v>
      </c>
      <c r="C257" s="6" t="s">
        <v>148</v>
      </c>
      <c r="D257" s="6" t="s">
        <v>957</v>
      </c>
      <c r="E257" s="6" t="s">
        <v>916</v>
      </c>
      <c r="F257" s="6" t="s">
        <v>17</v>
      </c>
      <c r="G257" s="6" t="s">
        <v>30</v>
      </c>
      <c r="H257" s="5">
        <v>45866.625428240739</v>
      </c>
      <c r="I257" s="6" t="s">
        <v>91</v>
      </c>
      <c r="J257" s="5">
        <v>46161.379363425927</v>
      </c>
      <c r="K257" s="6" t="s">
        <v>78</v>
      </c>
      <c r="L257" s="6" t="s">
        <v>32</v>
      </c>
      <c r="M257" s="5"/>
      <c r="N257" s="5" t="s">
        <v>148</v>
      </c>
      <c r="O257" s="45" t="str">
        <f>_xlfn.XLOOKUP(TAB.IDEIAS.TOTAL[[#This Row],[Enviado por]],'BASE DMOS'!A:A,'BASE DMOS'!C:C,"Não encontrado")</f>
        <v>OPERAÇÃO</v>
      </c>
    </row>
    <row r="258" spans="1:16" ht="87" x14ac:dyDescent="0.35">
      <c r="A258" s="6" t="s">
        <v>958</v>
      </c>
      <c r="B258" s="6" t="s">
        <v>959</v>
      </c>
      <c r="C258" s="6" t="s">
        <v>15</v>
      </c>
      <c r="D258" s="6" t="s">
        <v>960</v>
      </c>
      <c r="E258" s="6" t="s">
        <v>81</v>
      </c>
      <c r="F258" s="6" t="s">
        <v>17</v>
      </c>
      <c r="G258" s="6" t="s">
        <v>61</v>
      </c>
      <c r="H258" s="5">
        <v>45866.900914351849</v>
      </c>
      <c r="I258" s="6" t="s">
        <v>31</v>
      </c>
      <c r="J258" s="5">
        <v>45908.47351851852</v>
      </c>
      <c r="L258" s="6" t="s">
        <v>32</v>
      </c>
      <c r="M258" s="5">
        <v>45908.47351851852</v>
      </c>
      <c r="N258" s="5" t="s">
        <v>15</v>
      </c>
      <c r="O258" s="45" t="str">
        <f>_xlfn.XLOOKUP(TAB.IDEIAS.TOTAL[[#This Row],[Enviado por]],'BASE DMOS'!A:A,'BASE DMOS'!C:C,"Não encontrado")</f>
        <v>OPERAÇÃO</v>
      </c>
    </row>
    <row r="259" spans="1:16" ht="159.5" x14ac:dyDescent="0.35">
      <c r="A259" s="6" t="s">
        <v>961</v>
      </c>
      <c r="B259" s="6" t="s">
        <v>962</v>
      </c>
      <c r="C259" s="6" t="s">
        <v>134</v>
      </c>
      <c r="D259" s="6" t="s">
        <v>963</v>
      </c>
      <c r="E259" s="6" t="s">
        <v>277</v>
      </c>
      <c r="F259" s="6" t="s">
        <v>17</v>
      </c>
      <c r="G259" s="6" t="s">
        <v>18</v>
      </c>
      <c r="H259" s="5">
        <v>45867.204340277778</v>
      </c>
      <c r="I259" s="6" t="s">
        <v>91</v>
      </c>
      <c r="J259" s="5">
        <v>45966.367962962962</v>
      </c>
      <c r="K259" s="6" t="s">
        <v>105</v>
      </c>
      <c r="L259" s="6" t="s">
        <v>32</v>
      </c>
      <c r="M259" s="5">
        <v>45966.367962962962</v>
      </c>
      <c r="N259" s="5" t="s">
        <v>134</v>
      </c>
      <c r="O259" s="45" t="str">
        <f>_xlfn.XLOOKUP(TAB.IDEIAS.TOTAL[[#This Row],[Enviado por]],'BASE DMOS'!A:A,'BASE DMOS'!C:C,"Não encontrado")</f>
        <v>OPERAÇÃO</v>
      </c>
    </row>
    <row r="260" spans="1:16" ht="87" x14ac:dyDescent="0.35">
      <c r="A260" s="6" t="s">
        <v>964</v>
      </c>
      <c r="B260" s="6" t="s">
        <v>965</v>
      </c>
      <c r="C260" s="6" t="s">
        <v>15</v>
      </c>
      <c r="D260" s="6" t="s">
        <v>966</v>
      </c>
      <c r="E260" s="6" t="s">
        <v>277</v>
      </c>
      <c r="F260" s="6" t="s">
        <v>17</v>
      </c>
      <c r="G260" s="6" t="s">
        <v>61</v>
      </c>
      <c r="H260" s="5">
        <v>45867.205868055556</v>
      </c>
      <c r="I260" s="6" t="s">
        <v>91</v>
      </c>
      <c r="J260" s="5">
        <v>45905.55296296296</v>
      </c>
      <c r="L260" s="6" t="s">
        <v>32</v>
      </c>
      <c r="M260" s="5">
        <v>45905.55296296296</v>
      </c>
      <c r="N260" s="5" t="s">
        <v>15</v>
      </c>
      <c r="O260" s="45" t="str">
        <f>_xlfn.XLOOKUP(TAB.IDEIAS.TOTAL[[#This Row],[Enviado por]],'BASE DMOS'!A:A,'BASE DMOS'!C:C,"Não encontrado")</f>
        <v>OPERAÇÃO</v>
      </c>
    </row>
    <row r="261" spans="1:16" ht="72.5" x14ac:dyDescent="0.35">
      <c r="A261" s="6" t="s">
        <v>967</v>
      </c>
      <c r="B261" s="6" t="s">
        <v>968</v>
      </c>
      <c r="C261" s="6" t="s">
        <v>15</v>
      </c>
      <c r="D261" s="6" t="s">
        <v>969</v>
      </c>
      <c r="E261" s="6" t="s">
        <v>954</v>
      </c>
      <c r="F261" s="6" t="s">
        <v>17</v>
      </c>
      <c r="G261" s="6" t="s">
        <v>30</v>
      </c>
      <c r="H261" s="5">
        <v>45871.154143518521</v>
      </c>
      <c r="I261" s="6" t="s">
        <v>204</v>
      </c>
      <c r="J261" s="5">
        <v>45943.540902777779</v>
      </c>
      <c r="L261" s="6" t="s">
        <v>163</v>
      </c>
      <c r="M261" s="5">
        <v>45943.540902777779</v>
      </c>
      <c r="N261" s="5" t="s">
        <v>15</v>
      </c>
      <c r="O261" s="45" t="str">
        <f>_xlfn.XLOOKUP(TAB.IDEIAS.TOTAL[[#This Row],[Enviado por]],'BASE DMOS'!A:A,'BASE DMOS'!C:C,"Não encontrado")</f>
        <v>OPERAÇÃO</v>
      </c>
    </row>
    <row r="262" spans="1:16" ht="72.5" x14ac:dyDescent="0.35">
      <c r="A262" s="6" t="s">
        <v>970</v>
      </c>
      <c r="B262" s="6" t="s">
        <v>971</v>
      </c>
      <c r="C262" s="6" t="s">
        <v>15</v>
      </c>
      <c r="D262" s="6" t="s">
        <v>972</v>
      </c>
      <c r="E262" s="6" t="s">
        <v>916</v>
      </c>
      <c r="F262" s="6" t="s">
        <v>17</v>
      </c>
      <c r="G262" s="6" t="s">
        <v>30</v>
      </c>
      <c r="H262" s="5">
        <v>45871.880682870367</v>
      </c>
      <c r="I262" s="6" t="s">
        <v>91</v>
      </c>
      <c r="J262" s="5">
        <v>45908.458981481483</v>
      </c>
      <c r="L262" s="6" t="s">
        <v>32</v>
      </c>
      <c r="M262" s="5">
        <v>45908.458981481483</v>
      </c>
      <c r="N262" s="5" t="s">
        <v>15</v>
      </c>
      <c r="O262" s="45" t="str">
        <f>_xlfn.XLOOKUP(TAB.IDEIAS.TOTAL[[#This Row],[Enviado por]],'BASE DMOS'!A:A,'BASE DMOS'!C:C,"Não encontrado")</f>
        <v>OPERAÇÃO</v>
      </c>
    </row>
    <row r="263" spans="1:16" ht="116" x14ac:dyDescent="0.35">
      <c r="A263" s="6" t="s">
        <v>51</v>
      </c>
      <c r="B263" s="6" t="s">
        <v>52</v>
      </c>
      <c r="C263" s="6" t="s">
        <v>148</v>
      </c>
      <c r="D263" s="6" t="s">
        <v>973</v>
      </c>
      <c r="E263" s="6" t="s">
        <v>53</v>
      </c>
      <c r="F263" s="6" t="s">
        <v>17</v>
      </c>
      <c r="G263" s="6" t="s">
        <v>54</v>
      </c>
      <c r="H263" s="5">
        <v>45874.237939814811</v>
      </c>
      <c r="I263" s="6" t="s">
        <v>36</v>
      </c>
      <c r="J263" s="5">
        <v>45960.370810185188</v>
      </c>
      <c r="K263" s="6" t="s">
        <v>29</v>
      </c>
      <c r="L263" s="6" t="s">
        <v>66</v>
      </c>
      <c r="M263" s="5"/>
      <c r="N263" s="5" t="s">
        <v>148</v>
      </c>
      <c r="O263" s="45" t="str">
        <f>_xlfn.XLOOKUP(TAB.IDEIAS.TOTAL[[#This Row],[Enviado por]],'BASE DMOS'!A:A,'BASE DMOS'!C:C,"Não encontrado")</f>
        <v>OPERAÇÃO</v>
      </c>
    </row>
    <row r="264" spans="1:16" ht="43.5" x14ac:dyDescent="0.35">
      <c r="A264" s="6" t="s">
        <v>974</v>
      </c>
      <c r="B264" s="6" t="s">
        <v>975</v>
      </c>
      <c r="C264" s="6" t="s">
        <v>148</v>
      </c>
      <c r="D264" s="6" t="s">
        <v>976</v>
      </c>
      <c r="E264" s="6" t="s">
        <v>193</v>
      </c>
      <c r="F264" s="6" t="s">
        <v>17</v>
      </c>
      <c r="G264" s="6" t="s">
        <v>61</v>
      </c>
      <c r="H264" s="5">
        <v>45875.280682870369</v>
      </c>
      <c r="I264" s="6" t="s">
        <v>91</v>
      </c>
      <c r="J264" s="5">
        <v>46266.447048611109</v>
      </c>
      <c r="K264" s="6" t="s">
        <v>108</v>
      </c>
      <c r="L264" s="6" t="s">
        <v>66</v>
      </c>
      <c r="M264" s="5"/>
      <c r="N264" s="5" t="s">
        <v>148</v>
      </c>
      <c r="O264" s="45" t="str">
        <f>_xlfn.XLOOKUP(TAB.IDEIAS.TOTAL[[#This Row],[Enviado por]],'BASE DMOS'!A:A,'BASE DMOS'!C:C,"Não encontrado")</f>
        <v>OPERAÇÃO</v>
      </c>
    </row>
    <row r="265" spans="1:16" ht="145" x14ac:dyDescent="0.35">
      <c r="A265" s="6" t="s">
        <v>977</v>
      </c>
      <c r="B265" s="6" t="s">
        <v>978</v>
      </c>
      <c r="C265" s="6" t="s">
        <v>15</v>
      </c>
      <c r="D265" s="6" t="s">
        <v>979</v>
      </c>
      <c r="E265" s="6" t="s">
        <v>980</v>
      </c>
      <c r="F265" s="6" t="s">
        <v>112</v>
      </c>
      <c r="G265" s="6" t="s">
        <v>24</v>
      </c>
      <c r="H265" s="5">
        <v>45875.42832175926</v>
      </c>
      <c r="I265" s="6" t="s">
        <v>50</v>
      </c>
      <c r="J265" s="5">
        <v>45908.454004629632</v>
      </c>
      <c r="L265" s="6" t="s">
        <v>66</v>
      </c>
      <c r="M265" s="5">
        <v>45908.454004629632</v>
      </c>
      <c r="N265" s="5" t="s">
        <v>15</v>
      </c>
      <c r="O265" s="45" t="str">
        <f>_xlfn.XLOOKUP(TAB.IDEIAS.TOTAL[[#This Row],[Enviado por]],'BASE DMOS'!A:A,'BASE DMOS'!C:C,"Não encontrado")</f>
        <v>OPERAÇÃO</v>
      </c>
    </row>
    <row r="266" spans="1:16" ht="72.5" x14ac:dyDescent="0.35">
      <c r="A266" s="6" t="s">
        <v>981</v>
      </c>
      <c r="B266" s="6" t="s">
        <v>982</v>
      </c>
      <c r="C266" s="6" t="s">
        <v>134</v>
      </c>
      <c r="D266" s="6" t="s">
        <v>983</v>
      </c>
      <c r="E266" s="6" t="s">
        <v>562</v>
      </c>
      <c r="F266" s="6" t="s">
        <v>17</v>
      </c>
      <c r="G266" s="6" t="s">
        <v>24</v>
      </c>
      <c r="H266" s="5">
        <v>45875.54414351852</v>
      </c>
      <c r="I266" s="6" t="s">
        <v>50</v>
      </c>
      <c r="J266" s="5">
        <v>45961.418865740743</v>
      </c>
      <c r="K266" s="6" t="s">
        <v>637</v>
      </c>
      <c r="L266" s="6" t="s">
        <v>66</v>
      </c>
      <c r="M266" s="5">
        <v>45961.418865740743</v>
      </c>
      <c r="N266" s="5" t="s">
        <v>134</v>
      </c>
      <c r="O266" s="45" t="str">
        <f>_xlfn.XLOOKUP(TAB.IDEIAS.TOTAL[[#This Row],[Enviado por]],'BASE DMOS'!A:A,'BASE DMOS'!C:C,"Não encontrado")</f>
        <v>OPERAÇÃO</v>
      </c>
    </row>
    <row r="267" spans="1:16" ht="43.5" x14ac:dyDescent="0.35">
      <c r="A267" s="6" t="s">
        <v>984</v>
      </c>
      <c r="B267" s="6" t="s">
        <v>985</v>
      </c>
      <c r="C267" s="6" t="s">
        <v>134</v>
      </c>
      <c r="D267" s="6" t="s">
        <v>986</v>
      </c>
      <c r="E267" s="6" t="s">
        <v>299</v>
      </c>
      <c r="F267" s="6" t="s">
        <v>17</v>
      </c>
      <c r="G267" s="6" t="s">
        <v>30</v>
      </c>
      <c r="H267" s="5">
        <v>45876.94809027778</v>
      </c>
      <c r="I267" s="6" t="s">
        <v>36</v>
      </c>
      <c r="J267" s="5">
        <v>45960.608981481484</v>
      </c>
      <c r="K267" s="6" t="s">
        <v>90</v>
      </c>
      <c r="L267" s="6" t="s">
        <v>66</v>
      </c>
      <c r="M267" s="5">
        <v>45960.608981481484</v>
      </c>
      <c r="N267" s="5" t="s">
        <v>134</v>
      </c>
      <c r="O267" s="45" t="str">
        <f>_xlfn.XLOOKUP(TAB.IDEIAS.TOTAL[[#This Row],[Enviado por]],'BASE DMOS'!A:A,'BASE DMOS'!C:C,"Não encontrado")</f>
        <v>OPERAÇÃO</v>
      </c>
    </row>
    <row r="268" spans="1:16" ht="116" x14ac:dyDescent="0.35">
      <c r="A268" s="6" t="s">
        <v>987</v>
      </c>
      <c r="B268" s="6" t="s">
        <v>988</v>
      </c>
      <c r="C268" s="6" t="s">
        <v>15</v>
      </c>
      <c r="D268" s="6" t="s">
        <v>989</v>
      </c>
      <c r="E268" s="6" t="s">
        <v>688</v>
      </c>
      <c r="F268" s="6" t="s">
        <v>17</v>
      </c>
      <c r="G268" s="6" t="s">
        <v>61</v>
      </c>
      <c r="H268" s="5">
        <v>45877.553148148145</v>
      </c>
      <c r="I268" s="6" t="s">
        <v>98</v>
      </c>
      <c r="J268" s="5">
        <v>45877.564664351848</v>
      </c>
      <c r="L268" s="6" t="s">
        <v>273</v>
      </c>
      <c r="M268" s="5">
        <v>45877.564664351848</v>
      </c>
      <c r="N268" s="5" t="s">
        <v>15</v>
      </c>
      <c r="O268" s="45" t="str">
        <f>_xlfn.XLOOKUP(TAB.IDEIAS.TOTAL[[#This Row],[Enviado por]],'BASE DMOS'!A:A,'BASE DMOS'!C:C,"Não encontrado")</f>
        <v>ADM/TÉCNICO/ASSISTENTE/ESTAG.</v>
      </c>
    </row>
    <row r="269" spans="1:16" ht="87" x14ac:dyDescent="0.35">
      <c r="A269" s="6" t="s">
        <v>990</v>
      </c>
      <c r="B269" s="6" t="s">
        <v>991</v>
      </c>
      <c r="C269" s="6" t="s">
        <v>184</v>
      </c>
      <c r="D269" s="6" t="s">
        <v>992</v>
      </c>
      <c r="E269" s="6" t="s">
        <v>299</v>
      </c>
      <c r="F269" s="6" t="s">
        <v>17</v>
      </c>
      <c r="G269" s="6" t="s">
        <v>30</v>
      </c>
      <c r="H269" s="5">
        <v>45877.960289351853</v>
      </c>
      <c r="I269" s="6" t="s">
        <v>332</v>
      </c>
      <c r="J269" s="5">
        <v>45989.47729166667</v>
      </c>
      <c r="K269" s="6" t="s">
        <v>69</v>
      </c>
      <c r="L269" s="6" t="s">
        <v>66</v>
      </c>
      <c r="M269" s="5"/>
      <c r="N269" s="14" t="s">
        <v>215</v>
      </c>
      <c r="O269" s="45" t="str">
        <f>_xlfn.XLOOKUP(TAB.IDEIAS.TOTAL[[#This Row],[Enviado por]],'BASE DMOS'!A:A,'BASE DMOS'!C:C,"Não encontrado")</f>
        <v>OPERAÇÃO</v>
      </c>
    </row>
    <row r="270" spans="1:16" ht="58" x14ac:dyDescent="0.35">
      <c r="A270" s="6" t="s">
        <v>993</v>
      </c>
      <c r="B270" s="6" t="s">
        <v>994</v>
      </c>
      <c r="C270" s="6" t="s">
        <v>148</v>
      </c>
      <c r="D270" s="6" t="s">
        <v>995</v>
      </c>
      <c r="E270" s="6" t="s">
        <v>299</v>
      </c>
      <c r="F270" s="6" t="s">
        <v>17</v>
      </c>
      <c r="G270" s="6" t="s">
        <v>18</v>
      </c>
      <c r="H270" s="5">
        <v>45877.979444444441</v>
      </c>
      <c r="I270" s="6" t="s">
        <v>332</v>
      </c>
      <c r="J270" s="5">
        <v>46147.627997685187</v>
      </c>
      <c r="K270" s="6" t="s">
        <v>555</v>
      </c>
      <c r="L270" s="6" t="s">
        <v>66</v>
      </c>
      <c r="M270" s="5"/>
      <c r="N270" s="5" t="s">
        <v>148</v>
      </c>
      <c r="O270" s="45" t="str">
        <f>_xlfn.XLOOKUP(TAB.IDEIAS.TOTAL[[#This Row],[Enviado por]],'BASE DMOS'!A:A,'BASE DMOS'!C:C,"Não encontrado")</f>
        <v>OPERAÇÃO</v>
      </c>
      <c r="P270" t="s">
        <v>996</v>
      </c>
    </row>
    <row r="271" spans="1:16" ht="43.5" x14ac:dyDescent="0.35">
      <c r="A271" s="6" t="s">
        <v>997</v>
      </c>
      <c r="B271" s="6" t="s">
        <v>998</v>
      </c>
      <c r="C271" s="6" t="s">
        <v>15</v>
      </c>
      <c r="D271" s="6" t="s">
        <v>999</v>
      </c>
      <c r="E271" s="6" t="s">
        <v>105</v>
      </c>
      <c r="F271" s="6" t="s">
        <v>17</v>
      </c>
      <c r="G271" s="6" t="s">
        <v>61</v>
      </c>
      <c r="H271" s="5">
        <v>45881.196921296294</v>
      </c>
      <c r="I271" s="6" t="s">
        <v>19</v>
      </c>
      <c r="J271" s="5">
        <v>46036.446134259262</v>
      </c>
      <c r="L271" s="6" t="s">
        <v>20</v>
      </c>
      <c r="M271" s="5">
        <v>46036.446134259262</v>
      </c>
      <c r="N271" s="5" t="s">
        <v>15</v>
      </c>
      <c r="O271" s="45" t="str">
        <f>_xlfn.XLOOKUP(TAB.IDEIAS.TOTAL[[#This Row],[Enviado por]],'BASE DMOS'!A:A,'BASE DMOS'!C:C,"Não encontrado")</f>
        <v>ADM/TÉCNICO/ASSISTENTE/ESTAG.</v>
      </c>
    </row>
    <row r="272" spans="1:16" ht="43.5" x14ac:dyDescent="0.35">
      <c r="A272" s="6" t="s">
        <v>1000</v>
      </c>
      <c r="B272" s="6" t="s">
        <v>1001</v>
      </c>
      <c r="C272" s="6" t="s">
        <v>15</v>
      </c>
      <c r="D272" s="6" t="s">
        <v>1002</v>
      </c>
      <c r="E272" s="6" t="s">
        <v>105</v>
      </c>
      <c r="F272" s="6" t="s">
        <v>17</v>
      </c>
      <c r="G272" s="6" t="s">
        <v>61</v>
      </c>
      <c r="H272" s="5">
        <v>45881.198055555556</v>
      </c>
      <c r="I272" s="6" t="s">
        <v>19</v>
      </c>
      <c r="J272" s="5">
        <v>45923.711076388892</v>
      </c>
      <c r="L272" s="6" t="s">
        <v>20</v>
      </c>
      <c r="M272" s="5">
        <v>45923.711076388892</v>
      </c>
      <c r="N272" s="5" t="s">
        <v>15</v>
      </c>
      <c r="O272" s="45" t="str">
        <f>_xlfn.XLOOKUP(TAB.IDEIAS.TOTAL[[#This Row],[Enviado por]],'BASE DMOS'!A:A,'BASE DMOS'!C:C,"Não encontrado")</f>
        <v>ADM/TÉCNICO/ASSISTENTE/ESTAG.</v>
      </c>
    </row>
    <row r="273" spans="1:16" ht="101.5" x14ac:dyDescent="0.35">
      <c r="A273" s="6" t="s">
        <v>1003</v>
      </c>
      <c r="B273" s="6" t="s">
        <v>1004</v>
      </c>
      <c r="C273" s="6" t="s">
        <v>148</v>
      </c>
      <c r="D273" s="6" t="s">
        <v>1005</v>
      </c>
      <c r="E273" s="6" t="s">
        <v>629</v>
      </c>
      <c r="F273" s="6" t="s">
        <v>17</v>
      </c>
      <c r="G273" s="6" t="s">
        <v>30</v>
      </c>
      <c r="H273" s="5">
        <v>45882.89466435185</v>
      </c>
      <c r="I273" s="6" t="s">
        <v>227</v>
      </c>
      <c r="J273" s="5">
        <v>45999.154606481483</v>
      </c>
      <c r="K273" s="6" t="s">
        <v>78</v>
      </c>
      <c r="L273" s="6" t="s">
        <v>228</v>
      </c>
      <c r="M273" s="5"/>
      <c r="N273" s="5" t="s">
        <v>148</v>
      </c>
      <c r="O273" s="45" t="str">
        <f>_xlfn.XLOOKUP(TAB.IDEIAS.TOTAL[[#This Row],[Enviado por]],'BASE DMOS'!A:A,'BASE DMOS'!C:C,"Não encontrado")</f>
        <v>OPERAÇÃO</v>
      </c>
    </row>
    <row r="274" spans="1:16" ht="58" x14ac:dyDescent="0.35">
      <c r="A274" s="6" t="s">
        <v>1006</v>
      </c>
      <c r="B274" s="6" t="s">
        <v>1007</v>
      </c>
      <c r="C274" s="6" t="s">
        <v>134</v>
      </c>
      <c r="D274" s="6" t="s">
        <v>1008</v>
      </c>
      <c r="E274" s="6" t="s">
        <v>445</v>
      </c>
      <c r="F274" s="6" t="s">
        <v>17</v>
      </c>
      <c r="G274" s="6" t="s">
        <v>24</v>
      </c>
      <c r="H274" s="5">
        <v>45883.472407407404</v>
      </c>
      <c r="I274" s="6" t="s">
        <v>86</v>
      </c>
      <c r="J274" s="5">
        <v>45910.424675925926</v>
      </c>
      <c r="L274" s="6" t="s">
        <v>87</v>
      </c>
      <c r="M274" s="5">
        <v>45910.424675925926</v>
      </c>
      <c r="N274" s="5" t="s">
        <v>134</v>
      </c>
      <c r="O274" s="45" t="str">
        <f>_xlfn.XLOOKUP(TAB.IDEIAS.TOTAL[[#This Row],[Enviado por]],'BASE DMOS'!A:A,'BASE DMOS'!C:C,"Não encontrado")</f>
        <v>ADM/TÉCNICO/ASSISTENTE/ESTAG.</v>
      </c>
    </row>
    <row r="275" spans="1:16" ht="58" x14ac:dyDescent="0.35">
      <c r="A275" s="6" t="s">
        <v>1009</v>
      </c>
      <c r="B275" s="6" t="s">
        <v>1010</v>
      </c>
      <c r="C275" s="6" t="s">
        <v>134</v>
      </c>
      <c r="D275" s="6" t="s">
        <v>1011</v>
      </c>
      <c r="E275" s="6" t="s">
        <v>99</v>
      </c>
      <c r="F275" s="6" t="s">
        <v>17</v>
      </c>
      <c r="G275" s="6" t="s">
        <v>2390</v>
      </c>
      <c r="H275" s="5">
        <v>45883.476759259262</v>
      </c>
      <c r="I275" s="6" t="s">
        <v>86</v>
      </c>
      <c r="J275" s="5">
        <v>45883.478993055556</v>
      </c>
      <c r="L275" s="6" t="s">
        <v>87</v>
      </c>
      <c r="M275" s="5">
        <v>45883.478993055556</v>
      </c>
      <c r="N275" s="5" t="s">
        <v>134</v>
      </c>
      <c r="O275" s="45" t="str">
        <f>_xlfn.XLOOKUP(TAB.IDEIAS.TOTAL[[#This Row],[Enviado por]],'BASE DMOS'!A:A,'BASE DMOS'!C:C,"Não encontrado")</f>
        <v>ADM/TÉCNICO/ASSISTENTE/ESTAG.</v>
      </c>
    </row>
    <row r="276" spans="1:16" ht="87" x14ac:dyDescent="0.35">
      <c r="A276" s="6" t="s">
        <v>1012</v>
      </c>
      <c r="B276" s="6" t="s">
        <v>1013</v>
      </c>
      <c r="C276" s="6" t="s">
        <v>148</v>
      </c>
      <c r="D276" s="6" t="s">
        <v>1014</v>
      </c>
      <c r="E276" s="6" t="s">
        <v>99</v>
      </c>
      <c r="F276" s="6" t="s">
        <v>17</v>
      </c>
      <c r="G276" s="6" t="s">
        <v>2390</v>
      </c>
      <c r="H276" s="5">
        <v>45883.487187500003</v>
      </c>
      <c r="I276" s="6" t="s">
        <v>1015</v>
      </c>
      <c r="J276" s="5">
        <v>46203.611712962964</v>
      </c>
      <c r="K276" s="6" t="s">
        <v>688</v>
      </c>
      <c r="L276" s="6" t="s">
        <v>66</v>
      </c>
      <c r="M276" s="5"/>
      <c r="N276" s="5" t="s">
        <v>148</v>
      </c>
      <c r="O276" s="45" t="str">
        <f>_xlfn.XLOOKUP(TAB.IDEIAS.TOTAL[[#This Row],[Enviado por]],'BASE DMOS'!A:A,'BASE DMOS'!C:C,"Não encontrado")</f>
        <v>ADM/TÉCNICO/ASSISTENTE/ESTAG.</v>
      </c>
    </row>
    <row r="277" spans="1:16" ht="29" x14ac:dyDescent="0.35">
      <c r="A277" s="6" t="s">
        <v>1016</v>
      </c>
      <c r="B277" s="6" t="s">
        <v>1017</v>
      </c>
      <c r="C277" s="6" t="s">
        <v>15</v>
      </c>
      <c r="D277" s="6" t="s">
        <v>1018</v>
      </c>
      <c r="F277" s="6" t="s">
        <v>17</v>
      </c>
      <c r="G277" s="6" t="s">
        <v>30</v>
      </c>
      <c r="H277" s="5">
        <v>45883.540648148148</v>
      </c>
      <c r="I277" s="6" t="s">
        <v>25</v>
      </c>
      <c r="J277" s="5">
        <v>45887.436863425923</v>
      </c>
      <c r="L277" s="6" t="s">
        <v>26</v>
      </c>
      <c r="M277" s="5">
        <v>45887.436863425923</v>
      </c>
      <c r="N277" s="5" t="s">
        <v>15</v>
      </c>
      <c r="O277" s="45">
        <f>_xlfn.XLOOKUP(TAB.IDEIAS.TOTAL[[#This Row],[Enviado por]],'BASE DMOS'!A:A,'BASE DMOS'!C:C,"Não encontrado")</f>
        <v>0</v>
      </c>
    </row>
    <row r="278" spans="1:16" ht="29" x14ac:dyDescent="0.35">
      <c r="A278" s="6" t="s">
        <v>1019</v>
      </c>
      <c r="B278" s="6" t="s">
        <v>1020</v>
      </c>
      <c r="C278" s="6" t="s">
        <v>134</v>
      </c>
      <c r="D278" s="6" t="s">
        <v>1021</v>
      </c>
      <c r="E278" s="6" t="s">
        <v>222</v>
      </c>
      <c r="F278" s="6" t="s">
        <v>17</v>
      </c>
      <c r="G278" s="6" t="s">
        <v>61</v>
      </c>
      <c r="H278" s="5">
        <v>45884.530462962961</v>
      </c>
      <c r="I278" s="6" t="s">
        <v>204</v>
      </c>
      <c r="J278" s="5">
        <v>46071.440474537034</v>
      </c>
      <c r="K278" s="6" t="s">
        <v>420</v>
      </c>
      <c r="L278" s="6" t="s">
        <v>163</v>
      </c>
      <c r="M278" s="5">
        <v>46071.440474537034</v>
      </c>
      <c r="N278" s="5" t="s">
        <v>134</v>
      </c>
      <c r="O278" s="45" t="str">
        <f>_xlfn.XLOOKUP(TAB.IDEIAS.TOTAL[[#This Row],[Enviado por]],'BASE DMOS'!A:A,'BASE DMOS'!C:C,"Não encontrado")</f>
        <v>OPERAÇÃO</v>
      </c>
    </row>
    <row r="279" spans="1:16" ht="43.5" x14ac:dyDescent="0.35">
      <c r="A279" s="6" t="s">
        <v>1022</v>
      </c>
      <c r="B279" s="6" t="s">
        <v>1023</v>
      </c>
      <c r="C279" s="6" t="s">
        <v>134</v>
      </c>
      <c r="D279" s="6" t="s">
        <v>1024</v>
      </c>
      <c r="E279" s="6" t="s">
        <v>109</v>
      </c>
      <c r="F279" s="6" t="s">
        <v>17</v>
      </c>
      <c r="G279" s="6" t="s">
        <v>61</v>
      </c>
      <c r="H279" s="5">
        <v>45889.481562499997</v>
      </c>
      <c r="I279" s="6" t="s">
        <v>50</v>
      </c>
      <c r="J279" s="5">
        <v>45909.471030092594</v>
      </c>
      <c r="K279" s="6" t="s">
        <v>58</v>
      </c>
      <c r="L279" s="6" t="s">
        <v>66</v>
      </c>
      <c r="M279" s="5">
        <v>45909.471030092594</v>
      </c>
      <c r="N279" s="5" t="s">
        <v>134</v>
      </c>
      <c r="O279" s="45" t="str">
        <f>_xlfn.XLOOKUP(TAB.IDEIAS.TOTAL[[#This Row],[Enviado por]],'BASE DMOS'!A:A,'BASE DMOS'!C:C,"Não encontrado")</f>
        <v>ADM/TÉCNICO/ASSISTENTE/ESTAG.</v>
      </c>
    </row>
    <row r="280" spans="1:16" ht="29" x14ac:dyDescent="0.35">
      <c r="A280" s="6" t="s">
        <v>1025</v>
      </c>
      <c r="B280" s="6" t="s">
        <v>1026</v>
      </c>
      <c r="C280" s="6" t="s">
        <v>148</v>
      </c>
      <c r="D280" s="6" t="s">
        <v>1027</v>
      </c>
      <c r="E280" s="6" t="s">
        <v>916</v>
      </c>
      <c r="F280" s="6" t="s">
        <v>17</v>
      </c>
      <c r="G280" s="6" t="s">
        <v>18</v>
      </c>
      <c r="H280" s="5">
        <v>45889.648553240739</v>
      </c>
      <c r="I280" s="6" t="s">
        <v>91</v>
      </c>
      <c r="J280" s="5">
        <v>46213.480219907404</v>
      </c>
      <c r="K280" s="6" t="s">
        <v>355</v>
      </c>
      <c r="L280" s="6" t="s">
        <v>66</v>
      </c>
      <c r="M280" s="5"/>
      <c r="N280" s="5" t="s">
        <v>148</v>
      </c>
      <c r="O280" s="45" t="str">
        <f>_xlfn.XLOOKUP(TAB.IDEIAS.TOTAL[[#This Row],[Enviado por]],'BASE DMOS'!A:A,'BASE DMOS'!C:C,"Não encontrado")</f>
        <v>OPERAÇÃO</v>
      </c>
    </row>
    <row r="281" spans="1:16" ht="72.5" x14ac:dyDescent="0.35">
      <c r="A281" s="6" t="s">
        <v>1028</v>
      </c>
      <c r="B281" s="6" t="s">
        <v>1029</v>
      </c>
      <c r="C281" s="6" t="s">
        <v>184</v>
      </c>
      <c r="D281" s="6" t="s">
        <v>1030</v>
      </c>
      <c r="E281" s="6" t="s">
        <v>40</v>
      </c>
      <c r="F281" s="6" t="s">
        <v>17</v>
      </c>
      <c r="G281" s="6" t="s">
        <v>30</v>
      </c>
      <c r="H281" s="5">
        <v>45891.074756944443</v>
      </c>
      <c r="I281" s="6" t="s">
        <v>25</v>
      </c>
      <c r="J281" s="5">
        <v>45908.449641203704</v>
      </c>
      <c r="K281" s="6" t="s">
        <v>247</v>
      </c>
      <c r="L281" s="6" t="s">
        <v>26</v>
      </c>
      <c r="M281" s="5"/>
      <c r="N281" s="43" t="s">
        <v>186</v>
      </c>
      <c r="O281" s="45" t="str">
        <f>_xlfn.XLOOKUP(TAB.IDEIAS.TOTAL[[#This Row],[Enviado por]],'BASE DMOS'!A:A,'BASE DMOS'!C:C,"Não encontrado")</f>
        <v>OPERAÇÃO</v>
      </c>
    </row>
    <row r="282" spans="1:16" ht="58" x14ac:dyDescent="0.35">
      <c r="A282" s="6" t="s">
        <v>1031</v>
      </c>
      <c r="B282" s="6" t="s">
        <v>1032</v>
      </c>
      <c r="C282" s="6" t="s">
        <v>148</v>
      </c>
      <c r="D282" s="6" t="s">
        <v>1033</v>
      </c>
      <c r="E282" s="6" t="s">
        <v>108</v>
      </c>
      <c r="F282" s="6" t="s">
        <v>17</v>
      </c>
      <c r="G282" s="6" t="s">
        <v>61</v>
      </c>
      <c r="H282" s="5">
        <v>45891.677430555559</v>
      </c>
      <c r="I282" s="6" t="s">
        <v>1034</v>
      </c>
      <c r="J282" s="5">
        <v>46287.568449074075</v>
      </c>
      <c r="K282" s="6" t="s">
        <v>108</v>
      </c>
      <c r="L282" s="6" t="s">
        <v>66</v>
      </c>
      <c r="M282" s="5"/>
      <c r="N282" s="14" t="s">
        <v>148</v>
      </c>
      <c r="O282" s="45" t="str">
        <f>_xlfn.XLOOKUP(TAB.IDEIAS.TOTAL[[#This Row],[Enviado por]],'BASE DMOS'!A:A,'BASE DMOS'!C:C,"Não encontrado")</f>
        <v>ADM/TÉCNICO/ASSISTENTE/ESTAG.</v>
      </c>
    </row>
    <row r="283" spans="1:16" ht="29" x14ac:dyDescent="0.35">
      <c r="A283" s="6" t="s">
        <v>1035</v>
      </c>
      <c r="B283" s="6" t="s">
        <v>1036</v>
      </c>
      <c r="C283" s="6" t="s">
        <v>134</v>
      </c>
      <c r="D283" s="6" t="s">
        <v>1037</v>
      </c>
      <c r="E283" s="6" t="s">
        <v>108</v>
      </c>
      <c r="F283" s="6" t="s">
        <v>17</v>
      </c>
      <c r="G283" s="6" t="s">
        <v>61</v>
      </c>
      <c r="H283" s="5">
        <v>45891.678831018522</v>
      </c>
      <c r="I283" s="6" t="s">
        <v>1038</v>
      </c>
      <c r="J283" s="5">
        <v>46191.421041666668</v>
      </c>
      <c r="K283" s="6" t="s">
        <v>108</v>
      </c>
      <c r="L283" s="6" t="s">
        <v>181</v>
      </c>
      <c r="M283" s="5">
        <v>46191.421041666668</v>
      </c>
      <c r="N283" s="5" t="s">
        <v>134</v>
      </c>
      <c r="O283" s="45" t="str">
        <f>_xlfn.XLOOKUP(TAB.IDEIAS.TOTAL[[#This Row],[Enviado por]],'BASE DMOS'!A:A,'BASE DMOS'!C:C,"Não encontrado")</f>
        <v>ADM/TÉCNICO/ASSISTENTE/ESTAG.</v>
      </c>
    </row>
    <row r="284" spans="1:16" ht="29" x14ac:dyDescent="0.35">
      <c r="A284" s="6" t="s">
        <v>1039</v>
      </c>
      <c r="B284" s="6" t="s">
        <v>1040</v>
      </c>
      <c r="C284" s="6" t="s">
        <v>134</v>
      </c>
      <c r="D284" s="6" t="s">
        <v>1041</v>
      </c>
      <c r="E284" s="6" t="s">
        <v>108</v>
      </c>
      <c r="F284" s="6" t="s">
        <v>17</v>
      </c>
      <c r="G284" s="6" t="s">
        <v>61</v>
      </c>
      <c r="H284" s="5">
        <v>45891.680706018517</v>
      </c>
      <c r="I284" s="6" t="s">
        <v>695</v>
      </c>
      <c r="J284" s="5">
        <v>45908.541226851848</v>
      </c>
      <c r="L284" s="6" t="s">
        <v>273</v>
      </c>
      <c r="M284" s="5">
        <v>45908.541226851848</v>
      </c>
      <c r="N284" s="5" t="s">
        <v>134</v>
      </c>
      <c r="O284" s="45" t="str">
        <f>_xlfn.XLOOKUP(TAB.IDEIAS.TOTAL[[#This Row],[Enviado por]],'BASE DMOS'!A:A,'BASE DMOS'!C:C,"Não encontrado")</f>
        <v>ADM/TÉCNICO/ASSISTENTE/ESTAG.</v>
      </c>
    </row>
    <row r="285" spans="1:16" ht="101.5" x14ac:dyDescent="0.35">
      <c r="A285" s="6" t="s">
        <v>1042</v>
      </c>
      <c r="B285" s="6" t="s">
        <v>1043</v>
      </c>
      <c r="C285" s="6" t="s">
        <v>184</v>
      </c>
      <c r="D285" s="6" t="s">
        <v>1044</v>
      </c>
      <c r="E285" s="6" t="s">
        <v>299</v>
      </c>
      <c r="F285" s="6" t="s">
        <v>17</v>
      </c>
      <c r="G285" s="6" t="s">
        <v>18</v>
      </c>
      <c r="H285" s="5">
        <v>45891.989155092589</v>
      </c>
      <c r="I285" s="6" t="s">
        <v>332</v>
      </c>
      <c r="J285" s="5">
        <v>46282.600497685184</v>
      </c>
      <c r="K285" s="6" t="s">
        <v>78</v>
      </c>
      <c r="L285" s="6" t="s">
        <v>66</v>
      </c>
      <c r="M285" s="5"/>
      <c r="N285" s="14" t="s">
        <v>392</v>
      </c>
      <c r="O285" s="45" t="str">
        <f>_xlfn.XLOOKUP(TAB.IDEIAS.TOTAL[[#This Row],[Enviado por]],'BASE DMOS'!A:A,'BASE DMOS'!C:C,"Não encontrado")</f>
        <v>OPERAÇÃO</v>
      </c>
    </row>
    <row r="286" spans="1:16" ht="130.5" x14ac:dyDescent="0.35">
      <c r="A286" s="6" t="s">
        <v>1045</v>
      </c>
      <c r="B286" s="6" t="s">
        <v>1046</v>
      </c>
      <c r="C286" s="6" t="s">
        <v>134</v>
      </c>
      <c r="D286" s="6" t="s">
        <v>1047</v>
      </c>
      <c r="E286" s="6" t="s">
        <v>108</v>
      </c>
      <c r="F286" s="6" t="s">
        <v>17</v>
      </c>
      <c r="G286" s="6" t="s">
        <v>61</v>
      </c>
      <c r="H286" s="5">
        <v>45894.436203703706</v>
      </c>
      <c r="I286" s="6" t="s">
        <v>98</v>
      </c>
      <c r="J286" s="5">
        <v>46246.379120370373</v>
      </c>
      <c r="K286" s="6" t="s">
        <v>109</v>
      </c>
      <c r="L286" s="6" t="s">
        <v>66</v>
      </c>
      <c r="M286" s="5">
        <v>46246.379120370373</v>
      </c>
      <c r="N286" s="5" t="s">
        <v>134</v>
      </c>
      <c r="O286" s="45" t="str">
        <f>_xlfn.XLOOKUP(TAB.IDEIAS.TOTAL[[#This Row],[Enviado por]],'BASE DMOS'!A:A,'BASE DMOS'!C:C,"Não encontrado")</f>
        <v>ADM/TÉCNICO/ASSISTENTE/ESTAG.</v>
      </c>
    </row>
    <row r="287" spans="1:16" ht="130.5" x14ac:dyDescent="0.35">
      <c r="A287" s="6" t="s">
        <v>1048</v>
      </c>
      <c r="B287" s="6" t="s">
        <v>1049</v>
      </c>
      <c r="C287" s="6" t="s">
        <v>15</v>
      </c>
      <c r="D287" s="6" t="s">
        <v>1050</v>
      </c>
      <c r="E287" s="6" t="s">
        <v>108</v>
      </c>
      <c r="F287" s="6" t="s">
        <v>17</v>
      </c>
      <c r="G287" s="6" t="s">
        <v>24</v>
      </c>
      <c r="H287" s="5">
        <v>45903.518321759257</v>
      </c>
      <c r="I287" s="6" t="s">
        <v>19</v>
      </c>
      <c r="J287" s="5">
        <v>45908.468275462961</v>
      </c>
      <c r="L287" s="6" t="s">
        <v>20</v>
      </c>
      <c r="M287" s="5">
        <v>45908.468275462961</v>
      </c>
      <c r="N287" s="5" t="s">
        <v>15</v>
      </c>
      <c r="O287" s="45" t="str">
        <f>_xlfn.XLOOKUP(TAB.IDEIAS.TOTAL[[#This Row],[Enviado por]],'BASE DMOS'!A:A,'BASE DMOS'!C:C,"Não encontrado")</f>
        <v>ADM/TÉCNICO/ASSISTENTE/ESTAG.</v>
      </c>
    </row>
    <row r="288" spans="1:16" ht="72.5" x14ac:dyDescent="0.35">
      <c r="A288" s="6" t="s">
        <v>75</v>
      </c>
      <c r="B288" s="6" t="s">
        <v>76</v>
      </c>
      <c r="C288" s="6" t="s">
        <v>148</v>
      </c>
      <c r="D288" s="6" t="s">
        <v>1051</v>
      </c>
      <c r="E288" s="6" t="s">
        <v>77</v>
      </c>
      <c r="F288" s="6" t="s">
        <v>17</v>
      </c>
      <c r="G288" s="6" t="s">
        <v>30</v>
      </c>
      <c r="H288" s="5">
        <v>45903.653981481482</v>
      </c>
      <c r="I288" s="6" t="s">
        <v>36</v>
      </c>
      <c r="J288" s="5">
        <v>46276.586446759262</v>
      </c>
      <c r="K288" s="6" t="s">
        <v>78</v>
      </c>
      <c r="L288" s="6" t="s">
        <v>66</v>
      </c>
      <c r="M288" s="5"/>
      <c r="N288" s="5" t="s">
        <v>148</v>
      </c>
      <c r="O288" s="45" t="str">
        <f>_xlfn.XLOOKUP(TAB.IDEIAS.TOTAL[[#This Row],[Enviado por]],'BASE DMOS'!A:A,'BASE DMOS'!C:C,"Não encontrado")</f>
        <v>OPERAÇÃO</v>
      </c>
      <c r="P288" t="s">
        <v>539</v>
      </c>
    </row>
    <row r="289" spans="1:16" ht="174" x14ac:dyDescent="0.35">
      <c r="A289" s="6" t="s">
        <v>1052</v>
      </c>
      <c r="B289" s="6" t="s">
        <v>1053</v>
      </c>
      <c r="C289" s="6" t="s">
        <v>184</v>
      </c>
      <c r="D289" s="6" t="s">
        <v>1054</v>
      </c>
      <c r="E289" s="6" t="s">
        <v>145</v>
      </c>
      <c r="F289" s="6" t="s">
        <v>17</v>
      </c>
      <c r="G289" s="6" t="s">
        <v>61</v>
      </c>
      <c r="H289" s="5">
        <v>45904.398333333331</v>
      </c>
      <c r="I289" s="6" t="s">
        <v>25</v>
      </c>
      <c r="J289" s="5">
        <v>45912.412083333336</v>
      </c>
      <c r="K289" s="6" t="s">
        <v>29</v>
      </c>
      <c r="L289" s="6" t="s">
        <v>26</v>
      </c>
      <c r="M289" s="5"/>
      <c r="N289" s="14" t="s">
        <v>392</v>
      </c>
      <c r="O289" s="45" t="str">
        <f>_xlfn.XLOOKUP(TAB.IDEIAS.TOTAL[[#This Row],[Enviado por]],'BASE DMOS'!A:A,'BASE DMOS'!C:C,"Não encontrado")</f>
        <v>OPERAÇÃO</v>
      </c>
    </row>
    <row r="290" spans="1:16" ht="58" x14ac:dyDescent="0.35">
      <c r="A290" s="6" t="s">
        <v>1055</v>
      </c>
      <c r="B290" s="6" t="s">
        <v>1056</v>
      </c>
      <c r="C290" s="6" t="s">
        <v>134</v>
      </c>
      <c r="D290" s="6" t="s">
        <v>1057</v>
      </c>
      <c r="E290" s="6" t="s">
        <v>105</v>
      </c>
      <c r="F290" s="6" t="s">
        <v>17</v>
      </c>
      <c r="G290" s="6" t="s">
        <v>54</v>
      </c>
      <c r="H290" s="5">
        <v>45905.063287037039</v>
      </c>
      <c r="I290" s="6" t="s">
        <v>19</v>
      </c>
      <c r="J290" s="5">
        <v>45917.37908564815</v>
      </c>
      <c r="K290" s="6" t="s">
        <v>105</v>
      </c>
      <c r="L290" s="6" t="s">
        <v>20</v>
      </c>
      <c r="M290" s="5">
        <v>45917.37908564815</v>
      </c>
      <c r="N290" s="5" t="s">
        <v>134</v>
      </c>
      <c r="O290" s="45" t="str">
        <f>_xlfn.XLOOKUP(TAB.IDEIAS.TOTAL[[#This Row],[Enviado por]],'BASE DMOS'!A:A,'BASE DMOS'!C:C,"Não encontrado")</f>
        <v>ADM/TÉCNICO/ASSISTENTE/ESTAG.</v>
      </c>
    </row>
    <row r="291" spans="1:16" ht="130.5" x14ac:dyDescent="0.35">
      <c r="A291" s="6" t="s">
        <v>1058</v>
      </c>
      <c r="B291" s="6" t="s">
        <v>1059</v>
      </c>
      <c r="C291" s="6" t="s">
        <v>15</v>
      </c>
      <c r="D291" s="6" t="s">
        <v>1060</v>
      </c>
      <c r="F291" s="6" t="s">
        <v>17</v>
      </c>
      <c r="G291" s="6" t="s">
        <v>61</v>
      </c>
      <c r="H291" s="5">
        <v>45905.760405092595</v>
      </c>
      <c r="I291" s="6" t="s">
        <v>174</v>
      </c>
      <c r="J291" s="5">
        <v>45925.648831018516</v>
      </c>
      <c r="L291" s="6" t="s">
        <v>66</v>
      </c>
      <c r="M291" s="5">
        <v>45925.648831018516</v>
      </c>
      <c r="N291" s="5" t="s">
        <v>15</v>
      </c>
      <c r="O291" s="45">
        <f>_xlfn.XLOOKUP(TAB.IDEIAS.TOTAL[[#This Row],[Enviado por]],'BASE DMOS'!A:A,'BASE DMOS'!C:C,"Não encontrado")</f>
        <v>0</v>
      </c>
    </row>
    <row r="292" spans="1:16" ht="72.5" x14ac:dyDescent="0.35">
      <c r="A292" s="6" t="s">
        <v>1061</v>
      </c>
      <c r="B292" s="6" t="s">
        <v>1062</v>
      </c>
      <c r="C292" s="6" t="s">
        <v>184</v>
      </c>
      <c r="D292" s="6" t="s">
        <v>1063</v>
      </c>
      <c r="F292" s="6" t="s">
        <v>17</v>
      </c>
      <c r="G292" s="6" t="s">
        <v>61</v>
      </c>
      <c r="H292" s="5">
        <v>45908.713460648149</v>
      </c>
      <c r="I292" s="6" t="s">
        <v>174</v>
      </c>
      <c r="J292" s="5">
        <v>46276.595995370371</v>
      </c>
      <c r="K292" s="6" t="s">
        <v>688</v>
      </c>
      <c r="L292" s="6" t="s">
        <v>66</v>
      </c>
      <c r="M292" s="5"/>
      <c r="N292" s="14" t="s">
        <v>392</v>
      </c>
      <c r="O292" s="45">
        <f>_xlfn.XLOOKUP(TAB.IDEIAS.TOTAL[[#This Row],[Enviado por]],'BASE DMOS'!A:A,'BASE DMOS'!C:C,"Não encontrado")</f>
        <v>0</v>
      </c>
    </row>
    <row r="293" spans="1:16" ht="29" x14ac:dyDescent="0.35">
      <c r="A293" s="6" t="s">
        <v>1064</v>
      </c>
      <c r="B293" s="6" t="s">
        <v>1065</v>
      </c>
      <c r="C293" s="6" t="s">
        <v>15</v>
      </c>
      <c r="D293" s="6" t="s">
        <v>1066</v>
      </c>
      <c r="E293" s="6" t="s">
        <v>688</v>
      </c>
      <c r="F293" s="6" t="s">
        <v>17</v>
      </c>
      <c r="G293" s="6" t="s">
        <v>24</v>
      </c>
      <c r="H293" s="5">
        <v>45909.355787037035</v>
      </c>
      <c r="I293" s="6" t="s">
        <v>1067</v>
      </c>
      <c r="J293" s="5">
        <v>45995.542222222219</v>
      </c>
      <c r="L293" s="6" t="s">
        <v>228</v>
      </c>
      <c r="M293" s="5">
        <v>45995.542222222219</v>
      </c>
      <c r="N293" s="5" t="s">
        <v>15</v>
      </c>
      <c r="O293" s="45" t="str">
        <f>_xlfn.XLOOKUP(TAB.IDEIAS.TOTAL[[#This Row],[Enviado por]],'BASE DMOS'!A:A,'BASE DMOS'!C:C,"Não encontrado")</f>
        <v>ADM/TÉCNICO/ASSISTENTE/ESTAG.</v>
      </c>
    </row>
    <row r="294" spans="1:16" ht="58" x14ac:dyDescent="0.35">
      <c r="A294" s="6" t="s">
        <v>1068</v>
      </c>
      <c r="B294" s="6" t="s">
        <v>1069</v>
      </c>
      <c r="C294" s="6" t="s">
        <v>134</v>
      </c>
      <c r="D294" s="6" t="s">
        <v>1070</v>
      </c>
      <c r="E294" s="6" t="s">
        <v>29</v>
      </c>
      <c r="F294" s="6" t="s">
        <v>17</v>
      </c>
      <c r="G294" s="6" t="s">
        <v>18</v>
      </c>
      <c r="H294" s="5">
        <v>45909.570740740739</v>
      </c>
      <c r="I294" s="6" t="s">
        <v>19</v>
      </c>
      <c r="J294" s="5">
        <v>45909.571469907409</v>
      </c>
      <c r="K294" s="6" t="s">
        <v>29</v>
      </c>
      <c r="L294" s="6" t="s">
        <v>20</v>
      </c>
      <c r="M294" s="5">
        <v>45909.571469907409</v>
      </c>
      <c r="N294" s="5" t="s">
        <v>134</v>
      </c>
      <c r="O294" s="45" t="str">
        <f>_xlfn.XLOOKUP(TAB.IDEIAS.TOTAL[[#This Row],[Enviado por]],'BASE DMOS'!A:A,'BASE DMOS'!C:C,"Não encontrado")</f>
        <v>ADM/TÉCNICO/ASSISTENTE/ESTAG.</v>
      </c>
    </row>
    <row r="295" spans="1:16" ht="348" x14ac:dyDescent="0.35">
      <c r="A295" s="6" t="s">
        <v>1071</v>
      </c>
      <c r="B295" s="6" t="s">
        <v>1072</v>
      </c>
      <c r="C295" s="6" t="s">
        <v>184</v>
      </c>
      <c r="D295" s="6" t="s">
        <v>1073</v>
      </c>
      <c r="E295" s="6" t="s">
        <v>145</v>
      </c>
      <c r="F295" s="6" t="s">
        <v>17</v>
      </c>
      <c r="G295" s="6" t="s">
        <v>30</v>
      </c>
      <c r="H295" s="5">
        <v>45913.351261574076</v>
      </c>
      <c r="I295" s="6" t="s">
        <v>25</v>
      </c>
      <c r="J295" s="5">
        <v>46006.654039351852</v>
      </c>
      <c r="L295" s="6" t="s">
        <v>26</v>
      </c>
      <c r="M295" s="5"/>
      <c r="N295" s="43" t="s">
        <v>186</v>
      </c>
      <c r="O295" s="45" t="str">
        <f>_xlfn.XLOOKUP(TAB.IDEIAS.TOTAL[[#This Row],[Enviado por]],'BASE DMOS'!A:A,'BASE DMOS'!C:C,"Não encontrado")</f>
        <v>OPERAÇÃO</v>
      </c>
      <c r="P295" s="6" t="s">
        <v>15</v>
      </c>
    </row>
    <row r="296" spans="1:16" ht="43.5" x14ac:dyDescent="0.35">
      <c r="A296" s="6" t="s">
        <v>1074</v>
      </c>
      <c r="B296" s="6" t="s">
        <v>1075</v>
      </c>
      <c r="C296" s="6" t="s">
        <v>148</v>
      </c>
      <c r="D296" s="6" t="s">
        <v>1076</v>
      </c>
      <c r="E296" s="6" t="s">
        <v>58</v>
      </c>
      <c r="F296" s="6" t="s">
        <v>17</v>
      </c>
      <c r="G296" s="6" t="s">
        <v>18</v>
      </c>
      <c r="H296" s="5">
        <v>45915.468993055554</v>
      </c>
      <c r="I296" s="6" t="s">
        <v>50</v>
      </c>
      <c r="J296" s="5">
        <v>46206.456759259258</v>
      </c>
      <c r="L296" s="6" t="s">
        <v>66</v>
      </c>
      <c r="M296" s="5"/>
      <c r="N296" s="5" t="s">
        <v>148</v>
      </c>
      <c r="O296" s="45" t="str">
        <f>_xlfn.XLOOKUP(TAB.IDEIAS.TOTAL[[#This Row],[Enviado por]],'BASE DMOS'!A:A,'BASE DMOS'!C:C,"Não encontrado")</f>
        <v>ADM/TÉCNICO/ASSISTENTE/ESTAG.</v>
      </c>
    </row>
    <row r="297" spans="1:16" ht="130.5" x14ac:dyDescent="0.35">
      <c r="A297" s="6" t="s">
        <v>1077</v>
      </c>
      <c r="B297" s="6" t="s">
        <v>1078</v>
      </c>
      <c r="C297" s="6" t="s">
        <v>184</v>
      </c>
      <c r="D297" s="6" t="s">
        <v>1079</v>
      </c>
      <c r="E297" s="6" t="s">
        <v>58</v>
      </c>
      <c r="F297" s="6" t="s">
        <v>17</v>
      </c>
      <c r="G297" s="6" t="s">
        <v>18</v>
      </c>
      <c r="H297" s="5">
        <v>45915.474363425928</v>
      </c>
      <c r="I297" s="6" t="s">
        <v>25</v>
      </c>
      <c r="J297" s="5">
        <v>46244.587222222224</v>
      </c>
      <c r="K297" s="6" t="s">
        <v>82</v>
      </c>
      <c r="L297" s="6" t="s">
        <v>66</v>
      </c>
      <c r="M297" s="5"/>
      <c r="N297" s="43" t="s">
        <v>186</v>
      </c>
      <c r="O297" s="45" t="str">
        <f>_xlfn.XLOOKUP(TAB.IDEIAS.TOTAL[[#This Row],[Enviado por]],'BASE DMOS'!A:A,'BASE DMOS'!C:C,"Não encontrado")</f>
        <v>ADM/TÉCNICO/ASSISTENTE/ESTAG.</v>
      </c>
    </row>
    <row r="298" spans="1:16" ht="29" x14ac:dyDescent="0.35">
      <c r="A298" s="6" t="s">
        <v>1080</v>
      </c>
      <c r="B298" s="6" t="s">
        <v>1081</v>
      </c>
      <c r="C298" s="6" t="s">
        <v>134</v>
      </c>
      <c r="D298" s="6" t="s">
        <v>1082</v>
      </c>
      <c r="E298" s="6" t="s">
        <v>105</v>
      </c>
      <c r="F298" s="6" t="s">
        <v>17</v>
      </c>
      <c r="G298" s="6" t="s">
        <v>54</v>
      </c>
      <c r="H298" s="5">
        <v>45916.018391203703</v>
      </c>
      <c r="I298" s="6" t="s">
        <v>25</v>
      </c>
      <c r="J298" s="5">
        <v>45917.398229166669</v>
      </c>
      <c r="L298" s="6" t="s">
        <v>26</v>
      </c>
      <c r="M298" s="5">
        <v>45917.398229166669</v>
      </c>
      <c r="N298" s="5" t="s">
        <v>134</v>
      </c>
      <c r="O298" s="45" t="str">
        <f>_xlfn.XLOOKUP(TAB.IDEIAS.TOTAL[[#This Row],[Enviado por]],'BASE DMOS'!A:A,'BASE DMOS'!C:C,"Não encontrado")</f>
        <v>ADM/TÉCNICO/ASSISTENTE/ESTAG.</v>
      </c>
    </row>
    <row r="299" spans="1:16" ht="29" x14ac:dyDescent="0.35">
      <c r="A299" s="6" t="s">
        <v>1083</v>
      </c>
      <c r="B299" s="6" t="s">
        <v>1084</v>
      </c>
      <c r="C299" s="6" t="s">
        <v>134</v>
      </c>
      <c r="D299" s="6" t="s">
        <v>1085</v>
      </c>
      <c r="E299" s="6" t="s">
        <v>105</v>
      </c>
      <c r="F299" s="6" t="s">
        <v>17</v>
      </c>
      <c r="G299" s="6" t="s">
        <v>54</v>
      </c>
      <c r="H299" s="5">
        <v>45916.189027777778</v>
      </c>
      <c r="I299" s="6" t="s">
        <v>91</v>
      </c>
      <c r="J299" s="5">
        <v>45917.398634259262</v>
      </c>
      <c r="L299" s="6" t="s">
        <v>32</v>
      </c>
      <c r="M299" s="5">
        <v>45917.398634259262</v>
      </c>
      <c r="N299" s="5" t="s">
        <v>134</v>
      </c>
      <c r="O299" s="45" t="str">
        <f>_xlfn.XLOOKUP(TAB.IDEIAS.TOTAL[[#This Row],[Enviado por]],'BASE DMOS'!A:A,'BASE DMOS'!C:C,"Não encontrado")</f>
        <v>ADM/TÉCNICO/ASSISTENTE/ESTAG.</v>
      </c>
    </row>
    <row r="300" spans="1:16" ht="130.5" x14ac:dyDescent="0.35">
      <c r="A300" s="6" t="s">
        <v>1086</v>
      </c>
      <c r="B300" s="6" t="s">
        <v>1087</v>
      </c>
      <c r="C300" s="6" t="s">
        <v>184</v>
      </c>
      <c r="D300" s="6" t="s">
        <v>1088</v>
      </c>
      <c r="E300" s="6" t="s">
        <v>102</v>
      </c>
      <c r="F300" s="6" t="s">
        <v>17</v>
      </c>
      <c r="G300" s="6" t="s">
        <v>24</v>
      </c>
      <c r="H300" s="5">
        <v>45916.91097222222</v>
      </c>
      <c r="I300" s="6" t="s">
        <v>91</v>
      </c>
      <c r="J300" s="5">
        <v>46251.37872685185</v>
      </c>
      <c r="K300" s="6" t="s">
        <v>294</v>
      </c>
      <c r="L300" s="6" t="s">
        <v>66</v>
      </c>
      <c r="M300" s="5"/>
      <c r="N300" s="14" t="s">
        <v>186</v>
      </c>
      <c r="O300" s="45" t="str">
        <f>_xlfn.XLOOKUP(TAB.IDEIAS.TOTAL[[#This Row],[Enviado por]],'BASE DMOS'!A:A,'BASE DMOS'!C:C,"Não encontrado")</f>
        <v>OPERAÇÃO</v>
      </c>
    </row>
    <row r="301" spans="1:16" ht="29" x14ac:dyDescent="0.35">
      <c r="A301" s="6" t="s">
        <v>1089</v>
      </c>
      <c r="B301" s="6" t="s">
        <v>1090</v>
      </c>
      <c r="C301" s="6" t="s">
        <v>148</v>
      </c>
      <c r="D301" s="6" t="s">
        <v>1091</v>
      </c>
      <c r="F301" s="6" t="s">
        <v>17</v>
      </c>
      <c r="G301" s="6" t="s">
        <v>61</v>
      </c>
      <c r="H301" s="5">
        <v>45918.555983796294</v>
      </c>
      <c r="I301" s="6" t="s">
        <v>31</v>
      </c>
      <c r="J301" s="5">
        <v>45950.391365740739</v>
      </c>
      <c r="K301" s="6" t="s">
        <v>555</v>
      </c>
      <c r="L301" s="6" t="s">
        <v>32</v>
      </c>
      <c r="M301" s="5"/>
      <c r="N301" s="5" t="s">
        <v>148</v>
      </c>
      <c r="O301" s="45">
        <f>_xlfn.XLOOKUP(TAB.IDEIAS.TOTAL[[#This Row],[Enviado por]],'BASE DMOS'!A:A,'BASE DMOS'!C:C,"Não encontrado")</f>
        <v>0</v>
      </c>
    </row>
    <row r="302" spans="1:16" ht="145" x14ac:dyDescent="0.35">
      <c r="A302" s="6" t="s">
        <v>1092</v>
      </c>
      <c r="B302" s="6" t="s">
        <v>1093</v>
      </c>
      <c r="C302" s="6" t="s">
        <v>134</v>
      </c>
      <c r="D302" s="6" t="s">
        <v>1094</v>
      </c>
      <c r="E302" s="6" t="s">
        <v>102</v>
      </c>
      <c r="F302" s="6" t="s">
        <v>17</v>
      </c>
      <c r="G302" s="6" t="s">
        <v>54</v>
      </c>
      <c r="H302" s="5">
        <v>45918.637430555558</v>
      </c>
      <c r="I302" s="6" t="s">
        <v>91</v>
      </c>
      <c r="J302" s="5">
        <v>45945.585902777777</v>
      </c>
      <c r="K302" s="6" t="s">
        <v>74</v>
      </c>
      <c r="L302" s="6" t="s">
        <v>32</v>
      </c>
      <c r="M302" s="5">
        <v>45945.585902777777</v>
      </c>
      <c r="N302" s="5" t="s">
        <v>134</v>
      </c>
      <c r="O302" s="45" t="str">
        <f>_xlfn.XLOOKUP(TAB.IDEIAS.TOTAL[[#This Row],[Enviado por]],'BASE DMOS'!A:A,'BASE DMOS'!C:C,"Não encontrado")</f>
        <v>OPERAÇÃO</v>
      </c>
    </row>
    <row r="303" spans="1:16" ht="43.5" x14ac:dyDescent="0.35">
      <c r="A303" s="6" t="s">
        <v>1095</v>
      </c>
      <c r="B303" s="6" t="s">
        <v>1096</v>
      </c>
      <c r="C303" s="6" t="s">
        <v>134</v>
      </c>
      <c r="D303" s="6" t="s">
        <v>1097</v>
      </c>
      <c r="E303" s="6" t="s">
        <v>102</v>
      </c>
      <c r="F303" s="6" t="s">
        <v>17</v>
      </c>
      <c r="G303" s="6" t="s">
        <v>18</v>
      </c>
      <c r="H303" s="5">
        <v>45918.701365740744</v>
      </c>
      <c r="I303" s="6" t="s">
        <v>91</v>
      </c>
      <c r="J303" s="5">
        <v>45966.367731481485</v>
      </c>
      <c r="K303" s="6" t="s">
        <v>105</v>
      </c>
      <c r="L303" s="6" t="s">
        <v>32</v>
      </c>
      <c r="M303" s="5">
        <v>45966.367731481485</v>
      </c>
      <c r="N303" s="5" t="s">
        <v>134</v>
      </c>
      <c r="O303" s="45" t="str">
        <f>_xlfn.XLOOKUP(TAB.IDEIAS.TOTAL[[#This Row],[Enviado por]],'BASE DMOS'!A:A,'BASE DMOS'!C:C,"Não encontrado")</f>
        <v>OPERAÇÃO</v>
      </c>
    </row>
    <row r="304" spans="1:16" ht="43.5" x14ac:dyDescent="0.35">
      <c r="A304" s="6" t="s">
        <v>1098</v>
      </c>
      <c r="B304" s="6" t="s">
        <v>1099</v>
      </c>
      <c r="C304" s="6" t="s">
        <v>15</v>
      </c>
      <c r="D304" s="6" t="s">
        <v>1100</v>
      </c>
      <c r="E304" s="6" t="s">
        <v>108</v>
      </c>
      <c r="F304" s="6" t="s">
        <v>17</v>
      </c>
      <c r="G304" s="6" t="s">
        <v>61</v>
      </c>
      <c r="H304" s="5">
        <v>45919.714745370373</v>
      </c>
      <c r="I304" s="6" t="s">
        <v>19</v>
      </c>
      <c r="J304" s="5">
        <v>45929.398078703707</v>
      </c>
      <c r="L304" s="6" t="s">
        <v>20</v>
      </c>
      <c r="M304" s="5">
        <v>45929.398078703707</v>
      </c>
      <c r="N304" s="5" t="s">
        <v>15</v>
      </c>
      <c r="O304" s="45" t="str">
        <f>_xlfn.XLOOKUP(TAB.IDEIAS.TOTAL[[#This Row],[Enviado por]],'BASE DMOS'!A:A,'BASE DMOS'!C:C,"Não encontrado")</f>
        <v>ADM/TÉCNICO/ASSISTENTE/ESTAG.</v>
      </c>
    </row>
    <row r="305" spans="1:16" ht="87" x14ac:dyDescent="0.35">
      <c r="A305" s="6" t="s">
        <v>1101</v>
      </c>
      <c r="B305" s="6" t="s">
        <v>1102</v>
      </c>
      <c r="C305" s="6" t="s">
        <v>134</v>
      </c>
      <c r="D305" s="6" t="s">
        <v>1103</v>
      </c>
      <c r="E305" s="6" t="s">
        <v>108</v>
      </c>
      <c r="F305" s="6" t="s">
        <v>17</v>
      </c>
      <c r="G305" s="6" t="s">
        <v>61</v>
      </c>
      <c r="H305" s="5">
        <v>45919.716516203705</v>
      </c>
      <c r="I305" s="6" t="s">
        <v>98</v>
      </c>
      <c r="J305" s="5">
        <v>45961.591122685182</v>
      </c>
      <c r="K305" s="6" t="s">
        <v>108</v>
      </c>
      <c r="L305" s="6" t="s">
        <v>273</v>
      </c>
      <c r="M305" s="5">
        <v>45961.591122685182</v>
      </c>
      <c r="N305" s="5" t="s">
        <v>134</v>
      </c>
      <c r="O305" s="45" t="str">
        <f>_xlfn.XLOOKUP(TAB.IDEIAS.TOTAL[[#This Row],[Enviado por]],'BASE DMOS'!A:A,'BASE DMOS'!C:C,"Não encontrado")</f>
        <v>ADM/TÉCNICO/ASSISTENTE/ESTAG.</v>
      </c>
    </row>
    <row r="306" spans="1:16" ht="29" x14ac:dyDescent="0.35">
      <c r="A306" s="6" t="s">
        <v>1104</v>
      </c>
      <c r="B306" s="6" t="s">
        <v>1081</v>
      </c>
      <c r="C306" s="6" t="s">
        <v>134</v>
      </c>
      <c r="D306" s="6" t="s">
        <v>1105</v>
      </c>
      <c r="E306" s="6" t="s">
        <v>105</v>
      </c>
      <c r="F306" s="6" t="s">
        <v>17</v>
      </c>
      <c r="G306" s="6" t="s">
        <v>30</v>
      </c>
      <c r="H306" s="5">
        <v>45920.168310185189</v>
      </c>
      <c r="I306" s="6" t="s">
        <v>25</v>
      </c>
      <c r="J306" s="5">
        <v>45922.549305555556</v>
      </c>
      <c r="L306" s="6" t="s">
        <v>26</v>
      </c>
      <c r="M306" s="5">
        <v>45922.549305555556</v>
      </c>
      <c r="N306" s="5" t="s">
        <v>134</v>
      </c>
      <c r="O306" s="45" t="str">
        <f>_xlfn.XLOOKUP(TAB.IDEIAS.TOTAL[[#This Row],[Enviado por]],'BASE DMOS'!A:A,'BASE DMOS'!C:C,"Não encontrado")</f>
        <v>ADM/TÉCNICO/ASSISTENTE/ESTAG.</v>
      </c>
    </row>
    <row r="307" spans="1:16" ht="29" x14ac:dyDescent="0.35">
      <c r="A307" s="6" t="s">
        <v>1106</v>
      </c>
      <c r="B307" s="6" t="s">
        <v>1081</v>
      </c>
      <c r="C307" s="6" t="s">
        <v>134</v>
      </c>
      <c r="D307" s="6" t="s">
        <v>1107</v>
      </c>
      <c r="E307" s="6" t="s">
        <v>105</v>
      </c>
      <c r="F307" s="6" t="s">
        <v>17</v>
      </c>
      <c r="G307" s="6" t="s">
        <v>54</v>
      </c>
      <c r="H307" s="5">
        <v>45920.168842592589</v>
      </c>
      <c r="I307" s="6" t="s">
        <v>25</v>
      </c>
      <c r="J307" s="5">
        <v>45922.551377314812</v>
      </c>
      <c r="L307" s="6" t="s">
        <v>26</v>
      </c>
      <c r="M307" s="5">
        <v>45922.551377314812</v>
      </c>
      <c r="N307" s="5" t="s">
        <v>134</v>
      </c>
      <c r="O307" s="45" t="str">
        <f>_xlfn.XLOOKUP(TAB.IDEIAS.TOTAL[[#This Row],[Enviado por]],'BASE DMOS'!A:A,'BASE DMOS'!C:C,"Não encontrado")</f>
        <v>ADM/TÉCNICO/ASSISTENTE/ESTAG.</v>
      </c>
    </row>
    <row r="308" spans="1:16" ht="29" x14ac:dyDescent="0.35">
      <c r="A308" s="6" t="s">
        <v>1108</v>
      </c>
      <c r="B308" s="6" t="s">
        <v>1081</v>
      </c>
      <c r="C308" s="6" t="s">
        <v>134</v>
      </c>
      <c r="D308" s="6" t="s">
        <v>1109</v>
      </c>
      <c r="E308" s="6" t="s">
        <v>105</v>
      </c>
      <c r="F308" s="6" t="s">
        <v>17</v>
      </c>
      <c r="G308" s="6" t="s">
        <v>54</v>
      </c>
      <c r="H308" s="5">
        <v>45920.170138888891</v>
      </c>
      <c r="I308" s="6" t="s">
        <v>25</v>
      </c>
      <c r="J308" s="5">
        <v>45922.551215277781</v>
      </c>
      <c r="L308" s="6" t="s">
        <v>26</v>
      </c>
      <c r="M308" s="5">
        <v>45922.551215277781</v>
      </c>
      <c r="N308" s="5" t="s">
        <v>134</v>
      </c>
      <c r="O308" s="45" t="str">
        <f>_xlfn.XLOOKUP(TAB.IDEIAS.TOTAL[[#This Row],[Enviado por]],'BASE DMOS'!A:A,'BASE DMOS'!C:C,"Não encontrado")</f>
        <v>ADM/TÉCNICO/ASSISTENTE/ESTAG.</v>
      </c>
    </row>
    <row r="309" spans="1:16" ht="29" x14ac:dyDescent="0.35">
      <c r="A309" s="6" t="s">
        <v>1110</v>
      </c>
      <c r="B309" s="6" t="s">
        <v>1081</v>
      </c>
      <c r="C309" s="6" t="s">
        <v>134</v>
      </c>
      <c r="D309" s="6" t="s">
        <v>1111</v>
      </c>
      <c r="E309" s="6" t="s">
        <v>105</v>
      </c>
      <c r="F309" s="6" t="s">
        <v>17</v>
      </c>
      <c r="G309" s="6" t="s">
        <v>54</v>
      </c>
      <c r="H309" s="5">
        <v>45920.170729166668</v>
      </c>
      <c r="I309" s="6" t="s">
        <v>25</v>
      </c>
      <c r="J309" s="5">
        <v>45922.551539351851</v>
      </c>
      <c r="L309" s="6" t="s">
        <v>26</v>
      </c>
      <c r="M309" s="5">
        <v>45922.551539351851</v>
      </c>
      <c r="N309" s="5" t="s">
        <v>134</v>
      </c>
      <c r="O309" s="45" t="str">
        <f>_xlfn.XLOOKUP(TAB.IDEIAS.TOTAL[[#This Row],[Enviado por]],'BASE DMOS'!A:A,'BASE DMOS'!C:C,"Não encontrado")</f>
        <v>ADM/TÉCNICO/ASSISTENTE/ESTAG.</v>
      </c>
    </row>
    <row r="310" spans="1:16" ht="29" x14ac:dyDescent="0.35">
      <c r="A310" s="6" t="s">
        <v>1112</v>
      </c>
      <c r="B310" s="6" t="s">
        <v>1081</v>
      </c>
      <c r="C310" s="6" t="s">
        <v>134</v>
      </c>
      <c r="D310" s="6" t="s">
        <v>1113</v>
      </c>
      <c r="E310" s="6" t="s">
        <v>105</v>
      </c>
      <c r="F310" s="6" t="s">
        <v>17</v>
      </c>
      <c r="G310" s="6" t="s">
        <v>54</v>
      </c>
      <c r="H310" s="5">
        <v>45920.1715625</v>
      </c>
      <c r="I310" s="6" t="s">
        <v>25</v>
      </c>
      <c r="J310" s="5">
        <v>45922.551701388889</v>
      </c>
      <c r="L310" s="6" t="s">
        <v>26</v>
      </c>
      <c r="M310" s="5">
        <v>45922.551701388889</v>
      </c>
      <c r="N310" s="5" t="s">
        <v>134</v>
      </c>
      <c r="O310" s="45" t="str">
        <f>_xlfn.XLOOKUP(TAB.IDEIAS.TOTAL[[#This Row],[Enviado por]],'BASE DMOS'!A:A,'BASE DMOS'!C:C,"Não encontrado")</f>
        <v>ADM/TÉCNICO/ASSISTENTE/ESTAG.</v>
      </c>
    </row>
    <row r="311" spans="1:16" ht="29" x14ac:dyDescent="0.35">
      <c r="A311" s="6" t="s">
        <v>1114</v>
      </c>
      <c r="B311" s="6" t="s">
        <v>1081</v>
      </c>
      <c r="C311" s="6" t="s">
        <v>134</v>
      </c>
      <c r="D311" s="6" t="s">
        <v>1115</v>
      </c>
      <c r="E311" s="6" t="s">
        <v>105</v>
      </c>
      <c r="F311" s="6" t="s">
        <v>17</v>
      </c>
      <c r="G311" s="6" t="s">
        <v>54</v>
      </c>
      <c r="H311" s="5">
        <v>45920.172210648147</v>
      </c>
      <c r="I311" s="6" t="s">
        <v>25</v>
      </c>
      <c r="J311" s="5">
        <v>45922.551053240742</v>
      </c>
      <c r="L311" s="6" t="s">
        <v>26</v>
      </c>
      <c r="M311" s="5">
        <v>45922.551053240742</v>
      </c>
      <c r="N311" s="5" t="s">
        <v>134</v>
      </c>
      <c r="O311" s="45" t="str">
        <f>_xlfn.XLOOKUP(TAB.IDEIAS.TOTAL[[#This Row],[Enviado por]],'BASE DMOS'!A:A,'BASE DMOS'!C:C,"Não encontrado")</f>
        <v>ADM/TÉCNICO/ASSISTENTE/ESTAG.</v>
      </c>
    </row>
    <row r="312" spans="1:16" ht="29" x14ac:dyDescent="0.35">
      <c r="A312" s="6" t="s">
        <v>1116</v>
      </c>
      <c r="B312" s="6" t="s">
        <v>1081</v>
      </c>
      <c r="C312" s="6" t="s">
        <v>134</v>
      </c>
      <c r="D312" s="6" t="s">
        <v>1117</v>
      </c>
      <c r="E312" s="6" t="s">
        <v>105</v>
      </c>
      <c r="F312" s="6" t="s">
        <v>17</v>
      </c>
      <c r="G312" s="6" t="s">
        <v>54</v>
      </c>
      <c r="H312" s="5">
        <v>45920.172789351855</v>
      </c>
      <c r="I312" s="6" t="s">
        <v>25</v>
      </c>
      <c r="J312" s="5">
        <v>45922.550868055558</v>
      </c>
      <c r="L312" s="6" t="s">
        <v>26</v>
      </c>
      <c r="M312" s="5">
        <v>45922.550868055558</v>
      </c>
      <c r="N312" s="5" t="s">
        <v>134</v>
      </c>
      <c r="O312" s="45" t="str">
        <f>_xlfn.XLOOKUP(TAB.IDEIAS.TOTAL[[#This Row],[Enviado por]],'BASE DMOS'!A:A,'BASE DMOS'!C:C,"Não encontrado")</f>
        <v>ADM/TÉCNICO/ASSISTENTE/ESTAG.</v>
      </c>
    </row>
    <row r="313" spans="1:16" ht="29" x14ac:dyDescent="0.35">
      <c r="A313" s="6" t="s">
        <v>1118</v>
      </c>
      <c r="B313" s="6" t="s">
        <v>1081</v>
      </c>
      <c r="C313" s="6" t="s">
        <v>134</v>
      </c>
      <c r="D313" s="6" t="s">
        <v>1119</v>
      </c>
      <c r="E313" s="6" t="s">
        <v>105</v>
      </c>
      <c r="F313" s="6" t="s">
        <v>17</v>
      </c>
      <c r="G313" s="6" t="s">
        <v>54</v>
      </c>
      <c r="H313" s="5">
        <v>45920.173958333333</v>
      </c>
      <c r="I313" s="6" t="s">
        <v>25</v>
      </c>
      <c r="J313" s="5">
        <v>45922.551874999997</v>
      </c>
      <c r="L313" s="6" t="s">
        <v>26</v>
      </c>
      <c r="M313" s="5">
        <v>45922.551874999997</v>
      </c>
      <c r="N313" s="5" t="s">
        <v>134</v>
      </c>
      <c r="O313" s="45" t="str">
        <f>_xlfn.XLOOKUP(TAB.IDEIAS.TOTAL[[#This Row],[Enviado por]],'BASE DMOS'!A:A,'BASE DMOS'!C:C,"Não encontrado")</f>
        <v>ADM/TÉCNICO/ASSISTENTE/ESTAG.</v>
      </c>
    </row>
    <row r="314" spans="1:16" ht="29" x14ac:dyDescent="0.35">
      <c r="A314" s="6" t="s">
        <v>1120</v>
      </c>
      <c r="B314" s="6" t="s">
        <v>1081</v>
      </c>
      <c r="C314" s="6" t="s">
        <v>134</v>
      </c>
      <c r="D314" s="6" t="s">
        <v>1121</v>
      </c>
      <c r="E314" s="6" t="s">
        <v>105</v>
      </c>
      <c r="F314" s="6" t="s">
        <v>17</v>
      </c>
      <c r="G314" s="6" t="s">
        <v>54</v>
      </c>
      <c r="H314" s="5">
        <v>45920.174675925926</v>
      </c>
      <c r="I314" s="6" t="s">
        <v>25</v>
      </c>
      <c r="J314" s="5">
        <v>45922.552037037036</v>
      </c>
      <c r="L314" s="6" t="s">
        <v>26</v>
      </c>
      <c r="M314" s="5">
        <v>45922.552037037036</v>
      </c>
      <c r="N314" s="5" t="s">
        <v>134</v>
      </c>
      <c r="O314" s="45" t="str">
        <f>_xlfn.XLOOKUP(TAB.IDEIAS.TOTAL[[#This Row],[Enviado por]],'BASE DMOS'!A:A,'BASE DMOS'!C:C,"Não encontrado")</f>
        <v>ADM/TÉCNICO/ASSISTENTE/ESTAG.</v>
      </c>
    </row>
    <row r="315" spans="1:16" ht="29" x14ac:dyDescent="0.35">
      <c r="A315" s="6" t="s">
        <v>1122</v>
      </c>
      <c r="B315" s="6" t="s">
        <v>1081</v>
      </c>
      <c r="C315" s="6" t="s">
        <v>134</v>
      </c>
      <c r="D315" s="6" t="s">
        <v>1123</v>
      </c>
      <c r="E315" s="6" t="s">
        <v>105</v>
      </c>
      <c r="F315" s="6" t="s">
        <v>17</v>
      </c>
      <c r="G315" s="6" t="s">
        <v>54</v>
      </c>
      <c r="H315" s="5">
        <v>45920.175324074073</v>
      </c>
      <c r="I315" s="6" t="s">
        <v>25</v>
      </c>
      <c r="J315" s="5">
        <v>45922.552256944444</v>
      </c>
      <c r="L315" s="6" t="s">
        <v>26</v>
      </c>
      <c r="M315" s="5">
        <v>45922.552256944444</v>
      </c>
      <c r="N315" s="5" t="s">
        <v>134</v>
      </c>
      <c r="O315" s="45" t="str">
        <f>_xlfn.XLOOKUP(TAB.IDEIAS.TOTAL[[#This Row],[Enviado por]],'BASE DMOS'!A:A,'BASE DMOS'!C:C,"Não encontrado")</f>
        <v>ADM/TÉCNICO/ASSISTENTE/ESTAG.</v>
      </c>
    </row>
    <row r="316" spans="1:16" ht="29" x14ac:dyDescent="0.35">
      <c r="A316" s="6" t="s">
        <v>1124</v>
      </c>
      <c r="B316" s="6" t="s">
        <v>1125</v>
      </c>
      <c r="C316" s="6" t="s">
        <v>134</v>
      </c>
      <c r="D316" s="6" t="s">
        <v>1126</v>
      </c>
      <c r="E316" s="6" t="s">
        <v>105</v>
      </c>
      <c r="F316" s="6" t="s">
        <v>17</v>
      </c>
      <c r="G316" s="6" t="s">
        <v>54</v>
      </c>
      <c r="H316" s="5">
        <v>45920.234155092592</v>
      </c>
      <c r="I316" s="6" t="s">
        <v>25</v>
      </c>
      <c r="J316" s="5">
        <v>45922.550671296296</v>
      </c>
      <c r="L316" s="6" t="s">
        <v>26</v>
      </c>
      <c r="M316" s="5">
        <v>45922.550671296296</v>
      </c>
      <c r="N316" s="5" t="s">
        <v>134</v>
      </c>
      <c r="O316" s="45" t="str">
        <f>_xlfn.XLOOKUP(TAB.IDEIAS.TOTAL[[#This Row],[Enviado por]],'BASE DMOS'!A:A,'BASE DMOS'!C:C,"Não encontrado")</f>
        <v>ADM/TÉCNICO/ASSISTENTE/ESTAG.</v>
      </c>
    </row>
    <row r="317" spans="1:16" ht="101.5" x14ac:dyDescent="0.35">
      <c r="A317" s="6" t="s">
        <v>1127</v>
      </c>
      <c r="B317" s="6" t="s">
        <v>1128</v>
      </c>
      <c r="C317" s="6" t="s">
        <v>184</v>
      </c>
      <c r="D317" s="6" t="s">
        <v>1129</v>
      </c>
      <c r="E317" s="6" t="s">
        <v>494</v>
      </c>
      <c r="F317" s="6" t="s">
        <v>112</v>
      </c>
      <c r="G317" s="6" t="s">
        <v>18</v>
      </c>
      <c r="H317" s="5">
        <v>45924.565312500003</v>
      </c>
      <c r="I317" s="6" t="s">
        <v>91</v>
      </c>
      <c r="J317" s="5">
        <v>45943.552974537037</v>
      </c>
      <c r="K317" s="6" t="s">
        <v>78</v>
      </c>
      <c r="L317" s="6" t="s">
        <v>32</v>
      </c>
      <c r="M317" s="5"/>
      <c r="N317" s="14" t="s">
        <v>295</v>
      </c>
      <c r="O317" s="45" t="str">
        <f>_xlfn.XLOOKUP(TAB.IDEIAS.TOTAL[[#This Row],[Enviado por]],'BASE DMOS'!A:A,'BASE DMOS'!C:C,"Não encontrado")</f>
        <v>OPERAÇÃO</v>
      </c>
    </row>
    <row r="318" spans="1:16" ht="72.5" x14ac:dyDescent="0.35">
      <c r="A318" s="6" t="s">
        <v>59</v>
      </c>
      <c r="B318" s="6" t="s">
        <v>60</v>
      </c>
      <c r="C318" s="6" t="s">
        <v>134</v>
      </c>
      <c r="D318" s="6" t="s">
        <v>1130</v>
      </c>
      <c r="E318" s="6" t="s">
        <v>40</v>
      </c>
      <c r="F318" s="6" t="s">
        <v>17</v>
      </c>
      <c r="G318" s="6" t="s">
        <v>61</v>
      </c>
      <c r="H318" s="5">
        <v>45925.215740740743</v>
      </c>
      <c r="I318" s="6" t="s">
        <v>25</v>
      </c>
      <c r="J318" s="5">
        <v>45952.456585648149</v>
      </c>
      <c r="K318" s="6" t="s">
        <v>555</v>
      </c>
      <c r="L318" s="6" t="s">
        <v>26</v>
      </c>
      <c r="M318" s="5">
        <v>45952.456585648149</v>
      </c>
      <c r="N318" s="5" t="s">
        <v>134</v>
      </c>
      <c r="O318" s="45" t="str">
        <f>_xlfn.XLOOKUP(TAB.IDEIAS.TOTAL[[#This Row],[Enviado por]],'BASE DMOS'!A:A,'BASE DMOS'!C:C,"Não encontrado")</f>
        <v>OPERAÇÃO</v>
      </c>
      <c r="P318" s="6" t="s">
        <v>996</v>
      </c>
    </row>
    <row r="319" spans="1:16" ht="58" x14ac:dyDescent="0.35">
      <c r="A319" s="6" t="s">
        <v>1131</v>
      </c>
      <c r="B319" s="6" t="s">
        <v>1132</v>
      </c>
      <c r="C319" s="6" t="s">
        <v>184</v>
      </c>
      <c r="D319" s="6" t="s">
        <v>1133</v>
      </c>
      <c r="E319" s="6" t="s">
        <v>120</v>
      </c>
      <c r="F319" s="6" t="s">
        <v>17</v>
      </c>
      <c r="G319" s="6" t="s">
        <v>24</v>
      </c>
      <c r="H319" s="5">
        <v>45925.277106481481</v>
      </c>
      <c r="I319" s="6" t="s">
        <v>31</v>
      </c>
      <c r="J319" s="5">
        <v>45955.434999999998</v>
      </c>
      <c r="K319" s="6" t="s">
        <v>151</v>
      </c>
      <c r="L319" s="6" t="s">
        <v>32</v>
      </c>
      <c r="M319" s="5"/>
      <c r="N319" s="43" t="s">
        <v>186</v>
      </c>
      <c r="O319" s="45" t="str">
        <f>_xlfn.XLOOKUP(TAB.IDEIAS.TOTAL[[#This Row],[Enviado por]],'BASE DMOS'!A:A,'BASE DMOS'!C:C,"Não encontrado")</f>
        <v>OPERAÇÃO</v>
      </c>
    </row>
    <row r="320" spans="1:16" ht="29" x14ac:dyDescent="0.35">
      <c r="A320" s="6" t="s">
        <v>1134</v>
      </c>
      <c r="B320" s="6" t="s">
        <v>1135</v>
      </c>
      <c r="C320" s="6" t="s">
        <v>184</v>
      </c>
      <c r="D320" s="6" t="s">
        <v>1136</v>
      </c>
      <c r="E320" s="6" t="s">
        <v>416</v>
      </c>
      <c r="F320" s="6" t="s">
        <v>17</v>
      </c>
      <c r="G320" s="6" t="s">
        <v>18</v>
      </c>
      <c r="H320" s="5">
        <v>45925.282905092594</v>
      </c>
      <c r="I320" s="6" t="s">
        <v>174</v>
      </c>
      <c r="J320" s="5">
        <v>46135.362071759257</v>
      </c>
      <c r="K320" s="6" t="s">
        <v>445</v>
      </c>
      <c r="L320" s="6" t="s">
        <v>66</v>
      </c>
      <c r="M320" s="5"/>
      <c r="N320" s="14" t="s">
        <v>392</v>
      </c>
      <c r="O320" s="45" t="str">
        <f>_xlfn.XLOOKUP(TAB.IDEIAS.TOTAL[[#This Row],[Enviado por]],'BASE DMOS'!A:A,'BASE DMOS'!C:C,"Não encontrado")</f>
        <v>OPERAÇÃO</v>
      </c>
    </row>
    <row r="321" spans="1:15" ht="29" x14ac:dyDescent="0.35">
      <c r="A321" s="6" t="s">
        <v>1137</v>
      </c>
      <c r="B321" s="6" t="s">
        <v>1138</v>
      </c>
      <c r="C321" s="6" t="s">
        <v>15</v>
      </c>
      <c r="D321" s="6" t="s">
        <v>1139</v>
      </c>
      <c r="E321" s="6" t="s">
        <v>23</v>
      </c>
      <c r="F321" s="6" t="s">
        <v>17</v>
      </c>
      <c r="G321" s="6" t="s">
        <v>24</v>
      </c>
      <c r="H321" s="5">
        <v>45926.215914351851</v>
      </c>
      <c r="I321" s="6" t="s">
        <v>25</v>
      </c>
      <c r="J321" s="5">
        <v>45929.382835648146</v>
      </c>
      <c r="L321" s="6" t="s">
        <v>26</v>
      </c>
      <c r="M321" s="5">
        <v>45929.382835648146</v>
      </c>
      <c r="N321" s="5" t="s">
        <v>15</v>
      </c>
      <c r="O321" s="45" t="str">
        <f>_xlfn.XLOOKUP(TAB.IDEIAS.TOTAL[[#This Row],[Enviado por]],'BASE DMOS'!A:A,'BASE DMOS'!C:C,"Não encontrado")</f>
        <v>OPERAÇÃO</v>
      </c>
    </row>
    <row r="322" spans="1:15" ht="29" x14ac:dyDescent="0.35">
      <c r="A322" s="6" t="s">
        <v>1140</v>
      </c>
      <c r="B322" s="6" t="s">
        <v>1141</v>
      </c>
      <c r="C322" s="6" t="s">
        <v>134</v>
      </c>
      <c r="D322" s="6" t="s">
        <v>1142</v>
      </c>
      <c r="E322" s="6" t="s">
        <v>23</v>
      </c>
      <c r="F322" s="6" t="s">
        <v>17</v>
      </c>
      <c r="G322" s="6" t="s">
        <v>18</v>
      </c>
      <c r="H322" s="5">
        <v>45927.047500000001</v>
      </c>
      <c r="I322" s="6" t="s">
        <v>25</v>
      </c>
      <c r="J322" s="5">
        <v>45929.37976851852</v>
      </c>
      <c r="K322" s="6" t="s">
        <v>105</v>
      </c>
      <c r="L322" s="6" t="s">
        <v>26</v>
      </c>
      <c r="M322" s="5">
        <v>45929.37976851852</v>
      </c>
      <c r="N322" s="5" t="s">
        <v>134</v>
      </c>
      <c r="O322" s="45" t="str">
        <f>_xlfn.XLOOKUP(TAB.IDEIAS.TOTAL[[#This Row],[Enviado por]],'BASE DMOS'!A:A,'BASE DMOS'!C:C,"Não encontrado")</f>
        <v>OPERAÇÃO</v>
      </c>
    </row>
    <row r="323" spans="1:15" ht="101.5" x14ac:dyDescent="0.35">
      <c r="A323" s="6" t="s">
        <v>1143</v>
      </c>
      <c r="B323" s="6" t="s">
        <v>1144</v>
      </c>
      <c r="C323" s="6" t="s">
        <v>184</v>
      </c>
      <c r="D323" s="6" t="s">
        <v>1145</v>
      </c>
      <c r="E323" s="6" t="s">
        <v>97</v>
      </c>
      <c r="F323" s="6" t="s">
        <v>17</v>
      </c>
      <c r="G323" s="6" t="s">
        <v>24</v>
      </c>
      <c r="H323" s="5">
        <v>45929.533206018517</v>
      </c>
      <c r="I323" s="6" t="s">
        <v>86</v>
      </c>
      <c r="J323" s="5">
        <v>46276.59479166667</v>
      </c>
      <c r="K323" s="6" t="s">
        <v>445</v>
      </c>
      <c r="L323" s="6" t="s">
        <v>66</v>
      </c>
      <c r="M323" s="5"/>
      <c r="N323" s="43" t="s">
        <v>186</v>
      </c>
      <c r="O323" s="45" t="str">
        <f>_xlfn.XLOOKUP(TAB.IDEIAS.TOTAL[[#This Row],[Enviado por]],'BASE DMOS'!A:A,'BASE DMOS'!C:C,"Não encontrado")</f>
        <v>ADM/TÉCNICO/ASSISTENTE/ESTAG.</v>
      </c>
    </row>
    <row r="324" spans="1:15" ht="58" x14ac:dyDescent="0.35">
      <c r="A324" s="6" t="s">
        <v>1146</v>
      </c>
      <c r="B324" s="6" t="s">
        <v>1147</v>
      </c>
      <c r="C324" s="6" t="s">
        <v>148</v>
      </c>
      <c r="D324" s="6" t="s">
        <v>1148</v>
      </c>
      <c r="E324" s="6" t="s">
        <v>99</v>
      </c>
      <c r="F324" s="6" t="s">
        <v>17</v>
      </c>
      <c r="G324" s="6" t="s">
        <v>24</v>
      </c>
      <c r="H324" s="5">
        <v>45929.635671296295</v>
      </c>
      <c r="I324" s="6" t="s">
        <v>86</v>
      </c>
      <c r="J324" s="5">
        <v>46210.587025462963</v>
      </c>
      <c r="K324" s="6" t="s">
        <v>688</v>
      </c>
      <c r="L324" s="6" t="s">
        <v>66</v>
      </c>
      <c r="M324" s="5"/>
      <c r="N324" s="5" t="s">
        <v>148</v>
      </c>
      <c r="O324" s="45" t="str">
        <f>_xlfn.XLOOKUP(TAB.IDEIAS.TOTAL[[#This Row],[Enviado por]],'BASE DMOS'!A:A,'BASE DMOS'!C:C,"Não encontrado")</f>
        <v>ADM/TÉCNICO/ASSISTENTE/ESTAG.</v>
      </c>
    </row>
    <row r="325" spans="1:15" ht="159.5" x14ac:dyDescent="0.35">
      <c r="A325" s="6" t="s">
        <v>1149</v>
      </c>
      <c r="B325" s="6" t="s">
        <v>1150</v>
      </c>
      <c r="C325" s="6" t="s">
        <v>134</v>
      </c>
      <c r="D325" s="6" t="s">
        <v>1151</v>
      </c>
      <c r="E325" s="6" t="s">
        <v>77</v>
      </c>
      <c r="F325" s="6" t="s">
        <v>17</v>
      </c>
      <c r="G325" s="6" t="s">
        <v>30</v>
      </c>
      <c r="H325" s="5">
        <v>45929.707511574074</v>
      </c>
      <c r="I325" s="6" t="s">
        <v>174</v>
      </c>
      <c r="J325" s="5">
        <v>46001.451307870368</v>
      </c>
      <c r="K325" s="6" t="s">
        <v>117</v>
      </c>
      <c r="L325" s="6" t="s">
        <v>66</v>
      </c>
      <c r="M325" s="5">
        <v>46001.451307870368</v>
      </c>
      <c r="N325" s="5" t="s">
        <v>134</v>
      </c>
      <c r="O325" s="45" t="str">
        <f>_xlfn.XLOOKUP(TAB.IDEIAS.TOTAL[[#This Row],[Enviado por]],'BASE DMOS'!A:A,'BASE DMOS'!C:C,"Não encontrado")</f>
        <v>OPERAÇÃO</v>
      </c>
    </row>
    <row r="326" spans="1:15" ht="29" x14ac:dyDescent="0.35">
      <c r="A326" s="6" t="s">
        <v>1152</v>
      </c>
      <c r="B326" s="6" t="s">
        <v>1153</v>
      </c>
      <c r="C326" s="6" t="s">
        <v>184</v>
      </c>
      <c r="D326" s="6" t="s">
        <v>1154</v>
      </c>
      <c r="E326" s="6" t="s">
        <v>23</v>
      </c>
      <c r="F326" s="6" t="s">
        <v>17</v>
      </c>
      <c r="G326" s="6" t="s">
        <v>61</v>
      </c>
      <c r="H326" s="5">
        <v>45930.184282407405</v>
      </c>
      <c r="I326" s="6" t="s">
        <v>25</v>
      </c>
      <c r="J326" s="5">
        <v>46282.583449074074</v>
      </c>
      <c r="K326" s="6" t="s">
        <v>688</v>
      </c>
      <c r="L326" s="6" t="s">
        <v>66</v>
      </c>
      <c r="M326" s="5"/>
      <c r="N326" s="14" t="s">
        <v>186</v>
      </c>
      <c r="O326" s="45" t="str">
        <f>_xlfn.XLOOKUP(TAB.IDEIAS.TOTAL[[#This Row],[Enviado por]],'BASE DMOS'!A:A,'BASE DMOS'!C:C,"Não encontrado")</f>
        <v>OPERAÇÃO</v>
      </c>
    </row>
    <row r="327" spans="1:15" ht="72.5" x14ac:dyDescent="0.35">
      <c r="A327" s="6" t="s">
        <v>1155</v>
      </c>
      <c r="B327" s="6" t="s">
        <v>1156</v>
      </c>
      <c r="C327" s="6" t="s">
        <v>184</v>
      </c>
      <c r="D327" s="6" t="s">
        <v>1157</v>
      </c>
      <c r="E327" s="6" t="s">
        <v>29</v>
      </c>
      <c r="F327" s="6" t="s">
        <v>17</v>
      </c>
      <c r="G327" s="6" t="s">
        <v>61</v>
      </c>
      <c r="H327" s="5">
        <v>45930.428356481483</v>
      </c>
      <c r="I327" s="6" t="s">
        <v>25</v>
      </c>
      <c r="J327" s="5">
        <v>46282.596759259257</v>
      </c>
      <c r="K327" s="6" t="s">
        <v>688</v>
      </c>
      <c r="L327" s="6" t="s">
        <v>66</v>
      </c>
      <c r="M327" s="5"/>
      <c r="N327" s="14" t="s">
        <v>392</v>
      </c>
      <c r="O327" s="45" t="str">
        <f>_xlfn.XLOOKUP(TAB.IDEIAS.TOTAL[[#This Row],[Enviado por]],'BASE DMOS'!A:A,'BASE DMOS'!C:C,"Não encontrado")</f>
        <v>ADM/TÉCNICO/ASSISTENTE/ESTAG.</v>
      </c>
    </row>
    <row r="328" spans="1:15" ht="43.5" x14ac:dyDescent="0.35">
      <c r="A328" s="6" t="s">
        <v>1158</v>
      </c>
      <c r="B328" s="6" t="s">
        <v>1159</v>
      </c>
      <c r="C328" s="6" t="s">
        <v>15</v>
      </c>
      <c r="D328" s="6" t="s">
        <v>1160</v>
      </c>
      <c r="E328" s="6" t="s">
        <v>299</v>
      </c>
      <c r="F328" s="6" t="s">
        <v>17</v>
      </c>
      <c r="G328" s="6" t="s">
        <v>24</v>
      </c>
      <c r="H328" s="5">
        <v>45936.240162037036</v>
      </c>
      <c r="I328" s="6" t="s">
        <v>86</v>
      </c>
      <c r="J328" s="5">
        <v>45947.363819444443</v>
      </c>
      <c r="L328" s="6" t="s">
        <v>87</v>
      </c>
      <c r="M328" s="5">
        <v>45947.363819444443</v>
      </c>
      <c r="N328" s="5" t="s">
        <v>15</v>
      </c>
      <c r="O328" s="45" t="str">
        <f>_xlfn.XLOOKUP(TAB.IDEIAS.TOTAL[[#This Row],[Enviado por]],'BASE DMOS'!A:A,'BASE DMOS'!C:C,"Não encontrado")</f>
        <v>OPERAÇÃO</v>
      </c>
    </row>
    <row r="329" spans="1:15" ht="29" x14ac:dyDescent="0.35">
      <c r="A329" s="6" t="s">
        <v>1161</v>
      </c>
      <c r="B329" s="6" t="s">
        <v>1162</v>
      </c>
      <c r="C329" s="6" t="s">
        <v>148</v>
      </c>
      <c r="D329" s="6" t="s">
        <v>1163</v>
      </c>
      <c r="E329" s="6" t="s">
        <v>105</v>
      </c>
      <c r="F329" s="6" t="s">
        <v>17</v>
      </c>
      <c r="G329" s="6" t="s">
        <v>61</v>
      </c>
      <c r="H329" s="5">
        <v>45936.240416666667</v>
      </c>
      <c r="I329" s="6" t="s">
        <v>36</v>
      </c>
      <c r="J329" s="5">
        <v>46210.596759259257</v>
      </c>
      <c r="K329" s="6" t="s">
        <v>29</v>
      </c>
      <c r="L329" s="6" t="s">
        <v>66</v>
      </c>
      <c r="M329" s="5"/>
      <c r="N329" s="5" t="s">
        <v>148</v>
      </c>
      <c r="O329" s="45" t="str">
        <f>_xlfn.XLOOKUP(TAB.IDEIAS.TOTAL[[#This Row],[Enviado por]],'BASE DMOS'!A:A,'BASE DMOS'!C:C,"Não encontrado")</f>
        <v>ADM/TÉCNICO/ASSISTENTE/ESTAG.</v>
      </c>
    </row>
    <row r="330" spans="1:15" ht="43.5" x14ac:dyDescent="0.35">
      <c r="A330" s="6" t="s">
        <v>1164</v>
      </c>
      <c r="B330" s="6" t="s">
        <v>1165</v>
      </c>
      <c r="C330" s="6" t="s">
        <v>134</v>
      </c>
      <c r="D330" s="6" t="s">
        <v>1166</v>
      </c>
      <c r="E330" s="6" t="s">
        <v>105</v>
      </c>
      <c r="F330" s="6" t="s">
        <v>17</v>
      </c>
      <c r="G330" s="6" t="s">
        <v>61</v>
      </c>
      <c r="H330" s="5">
        <v>45936.241689814815</v>
      </c>
      <c r="I330" s="6" t="s">
        <v>36</v>
      </c>
      <c r="J330" s="5">
        <v>45960.620671296296</v>
      </c>
      <c r="L330" s="6" t="s">
        <v>66</v>
      </c>
      <c r="M330" s="5">
        <v>45960.620671296296</v>
      </c>
      <c r="N330" s="5" t="s">
        <v>134</v>
      </c>
      <c r="O330" s="45" t="str">
        <f>_xlfn.XLOOKUP(TAB.IDEIAS.TOTAL[[#This Row],[Enviado por]],'BASE DMOS'!A:A,'BASE DMOS'!C:C,"Não encontrado")</f>
        <v>ADM/TÉCNICO/ASSISTENTE/ESTAG.</v>
      </c>
    </row>
    <row r="331" spans="1:15" ht="58" x14ac:dyDescent="0.35">
      <c r="A331" s="6" t="s">
        <v>1167</v>
      </c>
      <c r="B331" s="6" t="s">
        <v>1168</v>
      </c>
      <c r="C331" s="6" t="s">
        <v>134</v>
      </c>
      <c r="D331" s="6" t="s">
        <v>1169</v>
      </c>
      <c r="E331" s="6" t="s">
        <v>77</v>
      </c>
      <c r="F331" s="6" t="s">
        <v>17</v>
      </c>
      <c r="G331" s="6" t="s">
        <v>18</v>
      </c>
      <c r="H331" s="5">
        <v>45937.737928240742</v>
      </c>
      <c r="I331" s="6" t="s">
        <v>174</v>
      </c>
      <c r="J331" s="5">
        <v>45993.371331018519</v>
      </c>
      <c r="K331" s="6" t="s">
        <v>90</v>
      </c>
      <c r="L331" s="6" t="s">
        <v>66</v>
      </c>
      <c r="M331" s="5">
        <v>45993.371331018519</v>
      </c>
      <c r="N331" s="5" t="s">
        <v>134</v>
      </c>
      <c r="O331" s="45" t="str">
        <f>_xlfn.XLOOKUP(TAB.IDEIAS.TOTAL[[#This Row],[Enviado por]],'BASE DMOS'!A:A,'BASE DMOS'!C:C,"Não encontrado")</f>
        <v>OPERAÇÃO</v>
      </c>
    </row>
    <row r="332" spans="1:15" ht="72.5" x14ac:dyDescent="0.35">
      <c r="A332" s="6" t="s">
        <v>1170</v>
      </c>
      <c r="B332" s="6" t="s">
        <v>1171</v>
      </c>
      <c r="C332" s="6" t="s">
        <v>15</v>
      </c>
      <c r="D332" s="6" t="s">
        <v>1172</v>
      </c>
      <c r="E332" s="6" t="s">
        <v>299</v>
      </c>
      <c r="F332" s="6" t="s">
        <v>17</v>
      </c>
      <c r="G332" s="6" t="s">
        <v>24</v>
      </c>
      <c r="H332" s="5">
        <v>45937.961759259262</v>
      </c>
      <c r="I332" s="6" t="s">
        <v>332</v>
      </c>
      <c r="J332" s="5">
        <v>45947.365902777776</v>
      </c>
      <c r="L332" s="6" t="s">
        <v>66</v>
      </c>
      <c r="M332" s="5">
        <v>45947.365902777776</v>
      </c>
      <c r="N332" s="5" t="s">
        <v>15</v>
      </c>
      <c r="O332" s="45" t="str">
        <f>_xlfn.XLOOKUP(TAB.IDEIAS.TOTAL[[#This Row],[Enviado por]],'BASE DMOS'!A:A,'BASE DMOS'!C:C,"Não encontrado")</f>
        <v>OPERAÇÃO</v>
      </c>
    </row>
    <row r="333" spans="1:15" ht="145" x14ac:dyDescent="0.35">
      <c r="A333" s="6" t="s">
        <v>1173</v>
      </c>
      <c r="B333" s="6" t="s">
        <v>1174</v>
      </c>
      <c r="C333" s="6" t="s">
        <v>148</v>
      </c>
      <c r="D333" s="6" t="s">
        <v>1175</v>
      </c>
      <c r="E333" s="6" t="s">
        <v>299</v>
      </c>
      <c r="F333" s="6" t="s">
        <v>17</v>
      </c>
      <c r="G333" s="6" t="s">
        <v>24</v>
      </c>
      <c r="H333" s="5">
        <v>45937.96570601852</v>
      </c>
      <c r="I333" s="6" t="s">
        <v>86</v>
      </c>
      <c r="J333" s="5">
        <v>46170.635046296295</v>
      </c>
      <c r="L333" s="6" t="s">
        <v>87</v>
      </c>
      <c r="M333" s="5"/>
      <c r="N333" s="5" t="s">
        <v>148</v>
      </c>
      <c r="O333" s="45" t="str">
        <f>_xlfn.XLOOKUP(TAB.IDEIAS.TOTAL[[#This Row],[Enviado por]],'BASE DMOS'!A:A,'BASE DMOS'!C:C,"Não encontrado")</f>
        <v>OPERAÇÃO</v>
      </c>
    </row>
    <row r="334" spans="1:15" ht="58" x14ac:dyDescent="0.35">
      <c r="A334" s="6" t="s">
        <v>1176</v>
      </c>
      <c r="B334" s="6" t="s">
        <v>1177</v>
      </c>
      <c r="C334" s="6" t="s">
        <v>134</v>
      </c>
      <c r="D334" s="6" t="s">
        <v>1178</v>
      </c>
      <c r="E334" s="6" t="s">
        <v>105</v>
      </c>
      <c r="F334" s="6" t="s">
        <v>17</v>
      </c>
      <c r="G334" s="6" t="s">
        <v>30</v>
      </c>
      <c r="H334" s="5">
        <v>45945.240798611114</v>
      </c>
      <c r="I334" s="6" t="s">
        <v>19</v>
      </c>
      <c r="J334" s="5">
        <v>46027.368125000001</v>
      </c>
      <c r="K334" s="6" t="s">
        <v>58</v>
      </c>
      <c r="L334" s="6" t="s">
        <v>20</v>
      </c>
      <c r="M334" s="5">
        <v>46027.368125000001</v>
      </c>
      <c r="N334" s="5" t="s">
        <v>134</v>
      </c>
      <c r="O334" s="45" t="str">
        <f>_xlfn.XLOOKUP(TAB.IDEIAS.TOTAL[[#This Row],[Enviado por]],'BASE DMOS'!A:A,'BASE DMOS'!C:C,"Não encontrado")</f>
        <v>ADM/TÉCNICO/ASSISTENTE/ESTAG.</v>
      </c>
    </row>
    <row r="335" spans="1:15" ht="29" x14ac:dyDescent="0.35">
      <c r="A335" s="6" t="s">
        <v>115</v>
      </c>
      <c r="B335" s="6" t="s">
        <v>116</v>
      </c>
      <c r="C335" s="6" t="s">
        <v>148</v>
      </c>
      <c r="D335" s="6" t="s">
        <v>1179</v>
      </c>
      <c r="E335" s="6" t="s">
        <v>117</v>
      </c>
      <c r="F335" s="6" t="s">
        <v>17</v>
      </c>
      <c r="G335" s="6" t="s">
        <v>61</v>
      </c>
      <c r="H335" s="5">
        <v>45945.412511574075</v>
      </c>
      <c r="I335" s="6" t="s">
        <v>50</v>
      </c>
      <c r="J335" s="5">
        <v>46156.632523148146</v>
      </c>
      <c r="K335" s="6" t="s">
        <v>74</v>
      </c>
      <c r="L335" s="6" t="s">
        <v>66</v>
      </c>
      <c r="M335" s="5"/>
      <c r="N335" s="5" t="s">
        <v>148</v>
      </c>
      <c r="O335" s="45" t="str">
        <f>_xlfn.XLOOKUP(TAB.IDEIAS.TOTAL[[#This Row],[Enviado por]],'BASE DMOS'!A:A,'BASE DMOS'!C:C,"Não encontrado")</f>
        <v>ADM/TÉCNICO/ASSISTENTE/ESTAG.</v>
      </c>
    </row>
    <row r="336" spans="1:15" ht="29" x14ac:dyDescent="0.35">
      <c r="A336" s="6" t="s">
        <v>1180</v>
      </c>
      <c r="B336" s="6" t="s">
        <v>1181</v>
      </c>
      <c r="C336" s="6" t="s">
        <v>134</v>
      </c>
      <c r="D336" s="6" t="s">
        <v>1182</v>
      </c>
      <c r="E336" s="6" t="s">
        <v>117</v>
      </c>
      <c r="F336" s="6" t="s">
        <v>17</v>
      </c>
      <c r="G336" s="6" t="s">
        <v>54</v>
      </c>
      <c r="H336" s="5">
        <v>45945.458796296298</v>
      </c>
      <c r="I336" s="6" t="s">
        <v>695</v>
      </c>
      <c r="J336" s="5">
        <v>45945.551006944443</v>
      </c>
      <c r="K336" s="6" t="s">
        <v>97</v>
      </c>
      <c r="L336" s="6" t="s">
        <v>273</v>
      </c>
      <c r="M336" s="5">
        <v>45945.551006944443</v>
      </c>
      <c r="N336" s="5" t="s">
        <v>134</v>
      </c>
      <c r="O336" s="45" t="str">
        <f>_xlfn.XLOOKUP(TAB.IDEIAS.TOTAL[[#This Row],[Enviado por]],'BASE DMOS'!A:A,'BASE DMOS'!C:C,"Não encontrado")</f>
        <v>ADM/TÉCNICO/ASSISTENTE/ESTAG.</v>
      </c>
    </row>
    <row r="337" spans="1:15" ht="58" x14ac:dyDescent="0.35">
      <c r="A337" s="6" t="s">
        <v>1183</v>
      </c>
      <c r="B337" s="6" t="s">
        <v>1184</v>
      </c>
      <c r="C337" s="6" t="s">
        <v>184</v>
      </c>
      <c r="D337" s="6" t="s">
        <v>1185</v>
      </c>
      <c r="E337" s="6" t="s">
        <v>77</v>
      </c>
      <c r="F337" s="6" t="s">
        <v>112</v>
      </c>
      <c r="G337" s="6" t="s">
        <v>61</v>
      </c>
      <c r="H337" s="5">
        <v>45945.859861111108</v>
      </c>
      <c r="I337" s="6" t="s">
        <v>174</v>
      </c>
      <c r="J337" s="5">
        <v>45954.49627314815</v>
      </c>
      <c r="L337" s="6" t="s">
        <v>66</v>
      </c>
      <c r="M337" s="5"/>
      <c r="N337" s="14" t="s">
        <v>232</v>
      </c>
      <c r="O337" s="45" t="str">
        <f>_xlfn.XLOOKUP(TAB.IDEIAS.TOTAL[[#This Row],[Enviado por]],'BASE DMOS'!A:A,'BASE DMOS'!C:C,"Não encontrado")</f>
        <v>OPERAÇÃO</v>
      </c>
    </row>
    <row r="338" spans="1:15" ht="29" x14ac:dyDescent="0.35">
      <c r="A338" s="6" t="s">
        <v>1186</v>
      </c>
      <c r="B338" s="6" t="s">
        <v>1187</v>
      </c>
      <c r="C338" s="6" t="s">
        <v>184</v>
      </c>
      <c r="D338" s="6" t="s">
        <v>1188</v>
      </c>
      <c r="E338" s="6" t="s">
        <v>1189</v>
      </c>
      <c r="F338" s="6" t="s">
        <v>17</v>
      </c>
      <c r="G338" s="6" t="s">
        <v>54</v>
      </c>
      <c r="H338" s="5">
        <v>45946.650173611109</v>
      </c>
      <c r="I338" s="6" t="s">
        <v>25</v>
      </c>
      <c r="J338" s="5">
        <v>45946.653124999997</v>
      </c>
      <c r="L338" s="6" t="s">
        <v>26</v>
      </c>
      <c r="M338" s="5"/>
      <c r="N338" s="14" t="s">
        <v>186</v>
      </c>
      <c r="O338" s="45" t="str">
        <f>_xlfn.XLOOKUP(TAB.IDEIAS.TOTAL[[#This Row],[Enviado por]],'BASE DMOS'!A:A,'BASE DMOS'!C:C,"Não encontrado")</f>
        <v>OPERAÇÃO</v>
      </c>
    </row>
    <row r="339" spans="1:15" ht="130.5" x14ac:dyDescent="0.35">
      <c r="A339" s="6" t="s">
        <v>1190</v>
      </c>
      <c r="B339" s="6" t="s">
        <v>1191</v>
      </c>
      <c r="C339" s="6" t="s">
        <v>184</v>
      </c>
      <c r="D339" s="6" t="s">
        <v>1192</v>
      </c>
      <c r="E339" s="6" t="s">
        <v>97</v>
      </c>
      <c r="F339" s="6" t="s">
        <v>17</v>
      </c>
      <c r="G339" s="6" t="s">
        <v>61</v>
      </c>
      <c r="H339" s="5">
        <v>45951.33929398148</v>
      </c>
      <c r="I339" s="6" t="s">
        <v>98</v>
      </c>
      <c r="J339" s="5">
        <v>46225.029293981483</v>
      </c>
      <c r="K339" s="6" t="s">
        <v>82</v>
      </c>
      <c r="L339" s="6" t="s">
        <v>66</v>
      </c>
      <c r="M339" s="5"/>
      <c r="N339" s="14" t="s">
        <v>295</v>
      </c>
      <c r="O339" s="45" t="str">
        <f>_xlfn.XLOOKUP(TAB.IDEIAS.TOTAL[[#This Row],[Enviado por]],'BASE DMOS'!A:A,'BASE DMOS'!C:C,"Não encontrado")</f>
        <v>ADM/TÉCNICO/ASSISTENTE/ESTAG.</v>
      </c>
    </row>
    <row r="340" spans="1:15" ht="87" x14ac:dyDescent="0.35">
      <c r="A340" s="6" t="s">
        <v>1193</v>
      </c>
      <c r="B340" s="6" t="s">
        <v>1194</v>
      </c>
      <c r="C340" s="6" t="s">
        <v>134</v>
      </c>
      <c r="D340" s="6" t="s">
        <v>1195</v>
      </c>
      <c r="E340" s="6" t="s">
        <v>193</v>
      </c>
      <c r="F340" s="6" t="s">
        <v>17</v>
      </c>
      <c r="G340" s="6" t="s">
        <v>61</v>
      </c>
      <c r="H340" s="5">
        <v>45951.580787037034</v>
      </c>
      <c r="I340" s="6" t="s">
        <v>91</v>
      </c>
      <c r="J340" s="5">
        <v>46056.612685185188</v>
      </c>
      <c r="K340" s="6" t="s">
        <v>29</v>
      </c>
      <c r="L340" s="6" t="s">
        <v>32</v>
      </c>
      <c r="M340" s="5">
        <v>46056.612685185188</v>
      </c>
      <c r="N340" s="5" t="s">
        <v>134</v>
      </c>
      <c r="O340" s="45" t="str">
        <f>_xlfn.XLOOKUP(TAB.IDEIAS.TOTAL[[#This Row],[Enviado por]],'BASE DMOS'!A:A,'BASE DMOS'!C:C,"Não encontrado")</f>
        <v>OPERAÇÃO</v>
      </c>
    </row>
    <row r="341" spans="1:15" ht="29" x14ac:dyDescent="0.35">
      <c r="A341" s="6" t="s">
        <v>1196</v>
      </c>
      <c r="B341" s="6" t="s">
        <v>1197</v>
      </c>
      <c r="C341" s="6" t="s">
        <v>184</v>
      </c>
      <c r="D341" s="6" t="s">
        <v>1198</v>
      </c>
      <c r="E341" s="6" t="s">
        <v>53</v>
      </c>
      <c r="F341" s="6" t="s">
        <v>17</v>
      </c>
      <c r="G341" s="6" t="s">
        <v>61</v>
      </c>
      <c r="H341" s="5">
        <v>45952.302256944444</v>
      </c>
      <c r="I341" s="6" t="s">
        <v>36</v>
      </c>
      <c r="J341" s="5">
        <v>46282.595509259256</v>
      </c>
      <c r="K341" s="6" t="s">
        <v>78</v>
      </c>
      <c r="L341" s="6" t="s">
        <v>66</v>
      </c>
      <c r="M341" s="5"/>
      <c r="N341" s="14" t="s">
        <v>392</v>
      </c>
      <c r="O341" s="45" t="str">
        <f>_xlfn.XLOOKUP(TAB.IDEIAS.TOTAL[[#This Row],[Enviado por]],'BASE DMOS'!A:A,'BASE DMOS'!C:C,"Não encontrado")</f>
        <v>OPERAÇÃO</v>
      </c>
    </row>
    <row r="342" spans="1:15" ht="101.5" x14ac:dyDescent="0.35">
      <c r="A342" s="6" t="s">
        <v>1199</v>
      </c>
      <c r="B342" s="6" t="s">
        <v>1200</v>
      </c>
      <c r="C342" s="6" t="s">
        <v>148</v>
      </c>
      <c r="D342" s="6" t="s">
        <v>1201</v>
      </c>
      <c r="E342" s="6" t="s">
        <v>99</v>
      </c>
      <c r="F342" s="6" t="s">
        <v>17</v>
      </c>
      <c r="G342" s="6" t="s">
        <v>61</v>
      </c>
      <c r="H342" s="5">
        <v>45954.436030092591</v>
      </c>
      <c r="I342" s="6" t="s">
        <v>86</v>
      </c>
      <c r="J342" s="5">
        <v>46210.602592592593</v>
      </c>
      <c r="K342" s="6" t="s">
        <v>688</v>
      </c>
      <c r="L342" s="6" t="s">
        <v>66</v>
      </c>
      <c r="M342" s="5"/>
      <c r="N342" s="5" t="s">
        <v>148</v>
      </c>
      <c r="O342" s="45" t="str">
        <f>_xlfn.XLOOKUP(TAB.IDEIAS.TOTAL[[#This Row],[Enviado por]],'BASE DMOS'!A:A,'BASE DMOS'!C:C,"Não encontrado")</f>
        <v>ADM/TÉCNICO/ASSISTENTE/ESTAG.</v>
      </c>
    </row>
    <row r="343" spans="1:15" ht="43.5" x14ac:dyDescent="0.35">
      <c r="A343" s="6" t="s">
        <v>1202</v>
      </c>
      <c r="B343" s="6" t="s">
        <v>1203</v>
      </c>
      <c r="C343" s="6" t="s">
        <v>15</v>
      </c>
      <c r="D343" s="6" t="s">
        <v>1204</v>
      </c>
      <c r="E343" s="6" t="s">
        <v>252</v>
      </c>
      <c r="F343" s="6" t="s">
        <v>112</v>
      </c>
      <c r="G343" s="6" t="s">
        <v>30</v>
      </c>
      <c r="H343" s="5">
        <v>45954.491446759261</v>
      </c>
      <c r="I343" s="6" t="s">
        <v>19</v>
      </c>
      <c r="J343" s="5">
        <v>46286.306238425925</v>
      </c>
      <c r="K343" s="6" t="s">
        <v>109</v>
      </c>
      <c r="L343" s="6" t="s">
        <v>66</v>
      </c>
      <c r="M343" s="5">
        <v>46286.306238425925</v>
      </c>
      <c r="N343" s="14" t="s">
        <v>186</v>
      </c>
      <c r="O343" s="45" t="str">
        <f>_xlfn.XLOOKUP(TAB.IDEIAS.TOTAL[[#This Row],[Enviado por]],'BASE DMOS'!A:A,'BASE DMOS'!C:C,"Não encontrado")</f>
        <v>ADM/TÉCNICO/ASSISTENTE/ESTAG.</v>
      </c>
    </row>
    <row r="344" spans="1:15" ht="43.5" x14ac:dyDescent="0.35">
      <c r="A344" s="6" t="s">
        <v>1205</v>
      </c>
      <c r="B344" s="6" t="s">
        <v>1206</v>
      </c>
      <c r="C344" s="6" t="s">
        <v>134</v>
      </c>
      <c r="D344" s="6" t="s">
        <v>1207</v>
      </c>
      <c r="E344" s="6" t="s">
        <v>99</v>
      </c>
      <c r="F344" s="6" t="s">
        <v>17</v>
      </c>
      <c r="G344" s="6" t="s">
        <v>24</v>
      </c>
      <c r="H344" s="5">
        <v>45957.389872685184</v>
      </c>
      <c r="I344" s="6" t="s">
        <v>86</v>
      </c>
      <c r="J344" s="5">
        <v>46041.383263888885</v>
      </c>
      <c r="K344" s="6" t="s">
        <v>688</v>
      </c>
      <c r="L344" s="6" t="s">
        <v>87</v>
      </c>
      <c r="M344" s="5">
        <v>46041.383263888885</v>
      </c>
      <c r="N344" s="5" t="s">
        <v>134</v>
      </c>
      <c r="O344" s="45" t="str">
        <f>_xlfn.XLOOKUP(TAB.IDEIAS.TOTAL[[#This Row],[Enviado por]],'BASE DMOS'!A:A,'BASE DMOS'!C:C,"Não encontrado")</f>
        <v>ADM/TÉCNICO/ASSISTENTE/ESTAG.</v>
      </c>
    </row>
    <row r="345" spans="1:15" ht="72.5" x14ac:dyDescent="0.35">
      <c r="A345" s="6" t="s">
        <v>113</v>
      </c>
      <c r="B345" s="6" t="s">
        <v>114</v>
      </c>
      <c r="C345" s="6" t="s">
        <v>148</v>
      </c>
      <c r="D345" s="6" t="s">
        <v>1208</v>
      </c>
      <c r="E345" s="6" t="s">
        <v>29</v>
      </c>
      <c r="F345" s="6" t="s">
        <v>17</v>
      </c>
      <c r="G345" s="6" t="s">
        <v>18</v>
      </c>
      <c r="H345" s="5">
        <v>45957.475416666668</v>
      </c>
      <c r="I345" s="6" t="s">
        <v>50</v>
      </c>
      <c r="J345" s="5">
        <v>46156.665821759256</v>
      </c>
      <c r="L345" s="6" t="s">
        <v>66</v>
      </c>
      <c r="M345" s="5"/>
      <c r="N345" s="5" t="s">
        <v>148</v>
      </c>
      <c r="O345" s="45" t="str">
        <f>_xlfn.XLOOKUP(TAB.IDEIAS.TOTAL[[#This Row],[Enviado por]],'BASE DMOS'!A:A,'BASE DMOS'!C:C,"Não encontrado")</f>
        <v>ADM/TÉCNICO/ASSISTENTE/ESTAG.</v>
      </c>
    </row>
    <row r="346" spans="1:15" ht="43.5" x14ac:dyDescent="0.35">
      <c r="A346" s="6" t="s">
        <v>1209</v>
      </c>
      <c r="B346" s="6" t="s">
        <v>1210</v>
      </c>
      <c r="C346" s="6" t="s">
        <v>184</v>
      </c>
      <c r="D346" s="6" t="s">
        <v>1211</v>
      </c>
      <c r="E346" s="6" t="s">
        <v>150</v>
      </c>
      <c r="F346" s="6" t="s">
        <v>17</v>
      </c>
      <c r="G346" s="6" t="s">
        <v>30</v>
      </c>
      <c r="H346" s="5">
        <v>45958.246458333335</v>
      </c>
      <c r="I346" s="6" t="s">
        <v>91</v>
      </c>
      <c r="J346" s="5">
        <v>46156.666400462964</v>
      </c>
      <c r="K346" s="6" t="s">
        <v>90</v>
      </c>
      <c r="L346" s="6" t="s">
        <v>32</v>
      </c>
      <c r="M346" s="5"/>
      <c r="N346" s="43" t="s">
        <v>186</v>
      </c>
      <c r="O346" s="45" t="str">
        <f>_xlfn.XLOOKUP(TAB.IDEIAS.TOTAL[[#This Row],[Enviado por]],'BASE DMOS'!A:A,'BASE DMOS'!C:C,"Não encontrado")</f>
        <v>OPERAÇÃO</v>
      </c>
    </row>
    <row r="347" spans="1:15" ht="29" x14ac:dyDescent="0.35">
      <c r="A347" s="6" t="s">
        <v>1212</v>
      </c>
      <c r="B347" s="6" t="s">
        <v>1213</v>
      </c>
      <c r="C347" s="6" t="s">
        <v>15</v>
      </c>
      <c r="D347" s="6" t="s">
        <v>1214</v>
      </c>
      <c r="E347" s="6" t="s">
        <v>109</v>
      </c>
      <c r="F347" s="6" t="s">
        <v>17</v>
      </c>
      <c r="G347" s="6" t="s">
        <v>18</v>
      </c>
      <c r="H347" s="5">
        <v>45958.453182870369</v>
      </c>
      <c r="I347" s="6" t="s">
        <v>25</v>
      </c>
      <c r="J347" s="5">
        <v>45958.455729166664</v>
      </c>
      <c r="L347" s="6" t="s">
        <v>26</v>
      </c>
      <c r="M347" s="5">
        <v>45958.455740740741</v>
      </c>
      <c r="N347" s="5" t="s">
        <v>15</v>
      </c>
      <c r="O347" s="45" t="str">
        <f>_xlfn.XLOOKUP(TAB.IDEIAS.TOTAL[[#This Row],[Enviado por]],'BASE DMOS'!A:A,'BASE DMOS'!C:C,"Não encontrado")</f>
        <v>ADM/TÉCNICO/ASSISTENTE/ESTAG.</v>
      </c>
    </row>
    <row r="348" spans="1:15" ht="29" x14ac:dyDescent="0.35">
      <c r="A348" s="6" t="s">
        <v>1215</v>
      </c>
      <c r="B348" s="6" t="s">
        <v>1216</v>
      </c>
      <c r="C348" s="6" t="s">
        <v>134</v>
      </c>
      <c r="D348" s="6" t="s">
        <v>1217</v>
      </c>
      <c r="E348" s="6" t="s">
        <v>77</v>
      </c>
      <c r="F348" s="6" t="s">
        <v>17</v>
      </c>
      <c r="G348" s="6" t="s">
        <v>61</v>
      </c>
      <c r="H348" s="5">
        <v>45959.627928240741</v>
      </c>
      <c r="I348" s="6" t="s">
        <v>174</v>
      </c>
      <c r="J348" s="5">
        <v>45960.472743055558</v>
      </c>
      <c r="K348" s="6" t="s">
        <v>90</v>
      </c>
      <c r="L348" s="6" t="s">
        <v>66</v>
      </c>
      <c r="M348" s="5">
        <v>45960.472743055558</v>
      </c>
      <c r="N348" s="5" t="s">
        <v>134</v>
      </c>
      <c r="O348" s="45" t="str">
        <f>_xlfn.XLOOKUP(TAB.IDEIAS.TOTAL[[#This Row],[Enviado por]],'BASE DMOS'!A:A,'BASE DMOS'!C:C,"Não encontrado")</f>
        <v>OPERAÇÃO</v>
      </c>
    </row>
    <row r="349" spans="1:15" ht="29" x14ac:dyDescent="0.35">
      <c r="A349" s="6" t="s">
        <v>1218</v>
      </c>
      <c r="B349" s="6" t="s">
        <v>1219</v>
      </c>
      <c r="C349" s="6" t="s">
        <v>134</v>
      </c>
      <c r="D349" s="6" t="s">
        <v>1217</v>
      </c>
      <c r="E349" s="6" t="s">
        <v>77</v>
      </c>
      <c r="F349" s="6" t="s">
        <v>17</v>
      </c>
      <c r="G349" s="6" t="s">
        <v>61</v>
      </c>
      <c r="H349" s="5">
        <v>45959.661678240744</v>
      </c>
      <c r="I349" s="6" t="s">
        <v>174</v>
      </c>
      <c r="J349" s="5">
        <v>45960.472627314812</v>
      </c>
      <c r="K349" s="6" t="s">
        <v>90</v>
      </c>
      <c r="L349" s="6" t="s">
        <v>66</v>
      </c>
      <c r="M349" s="5">
        <v>45960.472627314812</v>
      </c>
      <c r="N349" s="5" t="s">
        <v>134</v>
      </c>
      <c r="O349" s="45" t="str">
        <f>_xlfn.XLOOKUP(TAB.IDEIAS.TOTAL[[#This Row],[Enviado por]],'BASE DMOS'!A:A,'BASE DMOS'!C:C,"Não encontrado")</f>
        <v>OPERAÇÃO</v>
      </c>
    </row>
    <row r="350" spans="1:15" ht="29" x14ac:dyDescent="0.35">
      <c r="A350" s="6" t="s">
        <v>1220</v>
      </c>
      <c r="B350" s="6" t="s">
        <v>1221</v>
      </c>
      <c r="C350" s="6" t="s">
        <v>134</v>
      </c>
      <c r="D350" s="6" t="s">
        <v>1217</v>
      </c>
      <c r="E350" s="6" t="s">
        <v>77</v>
      </c>
      <c r="F350" s="6" t="s">
        <v>17</v>
      </c>
      <c r="G350" s="6" t="s">
        <v>61</v>
      </c>
      <c r="H350" s="5">
        <v>45959.6640162037</v>
      </c>
      <c r="I350" s="6" t="s">
        <v>174</v>
      </c>
      <c r="J350" s="5">
        <v>45960.622650462959</v>
      </c>
      <c r="K350" s="6" t="s">
        <v>90</v>
      </c>
      <c r="L350" s="6" t="s">
        <v>66</v>
      </c>
      <c r="M350" s="5">
        <v>45960.622650462959</v>
      </c>
      <c r="N350" s="5" t="s">
        <v>134</v>
      </c>
      <c r="O350" s="45" t="str">
        <f>_xlfn.XLOOKUP(TAB.IDEIAS.TOTAL[[#This Row],[Enviado por]],'BASE DMOS'!A:A,'BASE DMOS'!C:C,"Não encontrado")</f>
        <v>OPERAÇÃO</v>
      </c>
    </row>
    <row r="351" spans="1:15" ht="159.5" x14ac:dyDescent="0.35">
      <c r="A351" s="6" t="s">
        <v>1222</v>
      </c>
      <c r="B351" s="6" t="s">
        <v>1223</v>
      </c>
      <c r="C351" s="6" t="s">
        <v>148</v>
      </c>
      <c r="D351" s="6" t="s">
        <v>1224</v>
      </c>
      <c r="E351" s="6" t="s">
        <v>299</v>
      </c>
      <c r="F351" s="6" t="s">
        <v>17</v>
      </c>
      <c r="G351" s="6" t="s">
        <v>18</v>
      </c>
      <c r="H351" s="5">
        <v>45960.087384259263</v>
      </c>
      <c r="I351" s="6" t="s">
        <v>50</v>
      </c>
      <c r="J351" s="5">
        <v>46265.446689814817</v>
      </c>
      <c r="L351" s="6" t="s">
        <v>66</v>
      </c>
      <c r="M351" s="5"/>
      <c r="N351" s="5" t="s">
        <v>148</v>
      </c>
      <c r="O351" s="45" t="str">
        <f>_xlfn.XLOOKUP(TAB.IDEIAS.TOTAL[[#This Row],[Enviado por]],'BASE DMOS'!A:A,'BASE DMOS'!C:C,"Não encontrado")</f>
        <v>OPERAÇÃO</v>
      </c>
    </row>
    <row r="352" spans="1:15" ht="58" x14ac:dyDescent="0.35">
      <c r="A352" s="6" t="s">
        <v>1225</v>
      </c>
      <c r="B352" s="6" t="s">
        <v>1226</v>
      </c>
      <c r="C352" s="6" t="s">
        <v>134</v>
      </c>
      <c r="D352" s="6" t="s">
        <v>1227</v>
      </c>
      <c r="E352" s="6" t="s">
        <v>108</v>
      </c>
      <c r="F352" s="6" t="s">
        <v>17</v>
      </c>
      <c r="G352" s="6" t="s">
        <v>61</v>
      </c>
      <c r="H352" s="5">
        <v>45961.64135416667</v>
      </c>
      <c r="I352" s="6" t="s">
        <v>19</v>
      </c>
      <c r="J352" s="5">
        <v>46002.401192129626</v>
      </c>
      <c r="K352" s="6" t="s">
        <v>108</v>
      </c>
      <c r="L352" s="6" t="s">
        <v>20</v>
      </c>
      <c r="M352" s="5">
        <v>46002.401192129626</v>
      </c>
      <c r="N352" s="5" t="s">
        <v>134</v>
      </c>
      <c r="O352" s="45" t="str">
        <f>_xlfn.XLOOKUP(TAB.IDEIAS.TOTAL[[#This Row],[Enviado por]],'BASE DMOS'!A:A,'BASE DMOS'!C:C,"Não encontrado")</f>
        <v>ADM/TÉCNICO/ASSISTENTE/ESTAG.</v>
      </c>
    </row>
    <row r="353" spans="1:15" ht="101.5" x14ac:dyDescent="0.35">
      <c r="A353" s="6" t="s">
        <v>1228</v>
      </c>
      <c r="B353" s="6" t="s">
        <v>1229</v>
      </c>
      <c r="C353" s="6" t="s">
        <v>15</v>
      </c>
      <c r="D353" s="6" t="s">
        <v>1230</v>
      </c>
      <c r="E353" s="6" t="s">
        <v>1231</v>
      </c>
      <c r="F353" s="6" t="s">
        <v>17</v>
      </c>
      <c r="G353" s="6" t="s">
        <v>24</v>
      </c>
      <c r="H353" s="5">
        <v>45961.685648148145</v>
      </c>
      <c r="I353" s="6" t="s">
        <v>227</v>
      </c>
      <c r="J353" s="5">
        <v>46048.445763888885</v>
      </c>
      <c r="L353" s="6" t="s">
        <v>228</v>
      </c>
      <c r="M353" s="5">
        <v>46048.445763888885</v>
      </c>
      <c r="N353" s="5" t="s">
        <v>15</v>
      </c>
      <c r="O353" s="45" t="str">
        <f>_xlfn.XLOOKUP(TAB.IDEIAS.TOTAL[[#This Row],[Enviado por]],'BASE DMOS'!A:A,'BASE DMOS'!C:C,"Não encontrado")</f>
        <v>OPERAÇÃO</v>
      </c>
    </row>
    <row r="354" spans="1:15" ht="43.5" x14ac:dyDescent="0.35">
      <c r="A354" s="6" t="s">
        <v>1232</v>
      </c>
      <c r="B354" s="6" t="s">
        <v>1233</v>
      </c>
      <c r="C354" s="6" t="s">
        <v>134</v>
      </c>
      <c r="D354" s="6" t="s">
        <v>1234</v>
      </c>
      <c r="E354" s="6" t="s">
        <v>105</v>
      </c>
      <c r="F354" s="6" t="s">
        <v>17</v>
      </c>
      <c r="G354" s="6" t="s">
        <v>61</v>
      </c>
      <c r="H354" s="5">
        <v>45962.025937500002</v>
      </c>
      <c r="I354" s="6" t="s">
        <v>19</v>
      </c>
      <c r="J354" s="5">
        <v>45966.603946759256</v>
      </c>
      <c r="L354" s="6" t="s">
        <v>20</v>
      </c>
      <c r="M354" s="5">
        <v>45966.603946759256</v>
      </c>
      <c r="N354" s="5" t="s">
        <v>134</v>
      </c>
      <c r="O354" s="45" t="str">
        <f>_xlfn.XLOOKUP(TAB.IDEIAS.TOTAL[[#This Row],[Enviado por]],'BASE DMOS'!A:A,'BASE DMOS'!C:C,"Não encontrado")</f>
        <v>ADM/TÉCNICO/ASSISTENTE/ESTAG.</v>
      </c>
    </row>
    <row r="355" spans="1:15" ht="72.5" x14ac:dyDescent="0.35">
      <c r="A355" s="6" t="s">
        <v>1235</v>
      </c>
      <c r="B355" s="6" t="s">
        <v>1236</v>
      </c>
      <c r="C355" s="6" t="s">
        <v>184</v>
      </c>
      <c r="D355" s="6" t="s">
        <v>1237</v>
      </c>
      <c r="E355" s="6" t="s">
        <v>105</v>
      </c>
      <c r="F355" s="6" t="s">
        <v>17</v>
      </c>
      <c r="G355" s="6" t="s">
        <v>61</v>
      </c>
      <c r="H355" s="5">
        <v>45962.051851851851</v>
      </c>
      <c r="I355" s="6" t="s">
        <v>242</v>
      </c>
      <c r="J355" s="5">
        <v>46206.46025462963</v>
      </c>
      <c r="K355" s="6" t="s">
        <v>29</v>
      </c>
      <c r="L355" s="6" t="s">
        <v>66</v>
      </c>
      <c r="M355" s="5"/>
      <c r="N355" s="14" t="s">
        <v>295</v>
      </c>
      <c r="O355" s="45" t="str">
        <f>_xlfn.XLOOKUP(TAB.IDEIAS.TOTAL[[#This Row],[Enviado por]],'BASE DMOS'!A:A,'BASE DMOS'!C:C,"Não encontrado")</f>
        <v>ADM/TÉCNICO/ASSISTENTE/ESTAG.</v>
      </c>
    </row>
    <row r="356" spans="1:15" ht="72.5" x14ac:dyDescent="0.35">
      <c r="A356" s="6" t="s">
        <v>1238</v>
      </c>
      <c r="B356" s="6" t="s">
        <v>1239</v>
      </c>
      <c r="C356" s="6" t="s">
        <v>148</v>
      </c>
      <c r="D356" s="6" t="s">
        <v>1240</v>
      </c>
      <c r="E356" s="6" t="s">
        <v>1189</v>
      </c>
      <c r="F356" s="6" t="s">
        <v>17</v>
      </c>
      <c r="G356" s="6" t="s">
        <v>61</v>
      </c>
      <c r="H356" s="5">
        <v>45962.700960648152</v>
      </c>
      <c r="I356" s="6" t="s">
        <v>25</v>
      </c>
      <c r="J356" s="5">
        <v>46148.612442129626</v>
      </c>
      <c r="L356" s="6" t="s">
        <v>26</v>
      </c>
      <c r="M356" s="5"/>
      <c r="N356" s="5" t="s">
        <v>148</v>
      </c>
      <c r="O356" s="45" t="str">
        <f>_xlfn.XLOOKUP(TAB.IDEIAS.TOTAL[[#This Row],[Enviado por]],'BASE DMOS'!A:A,'BASE DMOS'!C:C,"Não encontrado")</f>
        <v>OPERAÇÃO</v>
      </c>
    </row>
    <row r="357" spans="1:15" ht="130.5" x14ac:dyDescent="0.35">
      <c r="A357" s="6" t="s">
        <v>1241</v>
      </c>
      <c r="B357" s="6" t="s">
        <v>1242</v>
      </c>
      <c r="C357" s="6" t="s">
        <v>15</v>
      </c>
      <c r="D357" s="6" t="s">
        <v>1243</v>
      </c>
      <c r="E357" s="6" t="s">
        <v>498</v>
      </c>
      <c r="F357" s="6" t="s">
        <v>17</v>
      </c>
      <c r="G357" s="6" t="s">
        <v>54</v>
      </c>
      <c r="H357" s="5">
        <v>45964.571006944447</v>
      </c>
      <c r="I357" s="6" t="s">
        <v>19</v>
      </c>
      <c r="J357" s="5">
        <v>46006.647233796299</v>
      </c>
      <c r="L357" s="6" t="s">
        <v>20</v>
      </c>
      <c r="M357" s="5">
        <v>46006.647233796299</v>
      </c>
      <c r="N357" s="5" t="s">
        <v>15</v>
      </c>
      <c r="O357" s="45" t="str">
        <f>_xlfn.XLOOKUP(TAB.IDEIAS.TOTAL[[#This Row],[Enviado por]],'BASE DMOS'!A:A,'BASE DMOS'!C:C,"Não encontrado")</f>
        <v>ADM/TÉCNICO/ASSISTENTE/ESTAG.</v>
      </c>
    </row>
    <row r="358" spans="1:15" ht="29" x14ac:dyDescent="0.35">
      <c r="A358" s="6" t="s">
        <v>1244</v>
      </c>
      <c r="B358" s="6" t="s">
        <v>1245</v>
      </c>
      <c r="C358" s="6" t="s">
        <v>15</v>
      </c>
      <c r="D358" s="6" t="s">
        <v>1246</v>
      </c>
      <c r="E358" s="6" t="s">
        <v>23</v>
      </c>
      <c r="F358" s="6" t="s">
        <v>17</v>
      </c>
      <c r="G358" s="6" t="s">
        <v>61</v>
      </c>
      <c r="H358" s="5">
        <v>45969.05609953704</v>
      </c>
      <c r="I358" s="6" t="s">
        <v>25</v>
      </c>
      <c r="J358" s="5">
        <v>45986.55541666667</v>
      </c>
      <c r="L358" s="6" t="s">
        <v>26</v>
      </c>
      <c r="M358" s="5">
        <v>45986.55541666667</v>
      </c>
      <c r="N358" s="5" t="s">
        <v>15</v>
      </c>
      <c r="O358" s="45" t="str">
        <f>_xlfn.XLOOKUP(TAB.IDEIAS.TOTAL[[#This Row],[Enviado por]],'BASE DMOS'!A:A,'BASE DMOS'!C:C,"Não encontrado")</f>
        <v>OPERAÇÃO</v>
      </c>
    </row>
    <row r="359" spans="1:15" ht="29" x14ac:dyDescent="0.35">
      <c r="A359" s="6" t="s">
        <v>1247</v>
      </c>
      <c r="B359" s="6" t="s">
        <v>1248</v>
      </c>
      <c r="C359" s="6" t="s">
        <v>15</v>
      </c>
      <c r="D359" s="6" t="s">
        <v>1249</v>
      </c>
      <c r="E359" s="6" t="s">
        <v>23</v>
      </c>
      <c r="F359" s="6" t="s">
        <v>17</v>
      </c>
      <c r="G359" s="6" t="s">
        <v>61</v>
      </c>
      <c r="H359" s="5">
        <v>45971.041655092595</v>
      </c>
      <c r="I359" s="6" t="s">
        <v>50</v>
      </c>
      <c r="J359" s="5">
        <v>46030.408773148149</v>
      </c>
      <c r="L359" s="6" t="s">
        <v>66</v>
      </c>
      <c r="M359" s="5">
        <v>46030.408773148149</v>
      </c>
      <c r="N359" s="5" t="s">
        <v>15</v>
      </c>
      <c r="O359" s="45" t="str">
        <f>_xlfn.XLOOKUP(TAB.IDEIAS.TOTAL[[#This Row],[Enviado por]],'BASE DMOS'!A:A,'BASE DMOS'!C:C,"Não encontrado")</f>
        <v>OPERAÇÃO</v>
      </c>
    </row>
    <row r="360" spans="1:15" ht="101.5" x14ac:dyDescent="0.35">
      <c r="A360" s="6" t="s">
        <v>1250</v>
      </c>
      <c r="B360" s="6" t="s">
        <v>1251</v>
      </c>
      <c r="C360" s="6" t="s">
        <v>15</v>
      </c>
      <c r="D360" s="6" t="s">
        <v>1252</v>
      </c>
      <c r="E360" s="6" t="s">
        <v>23</v>
      </c>
      <c r="F360" s="6" t="s">
        <v>17</v>
      </c>
      <c r="G360" s="6" t="s">
        <v>2390</v>
      </c>
      <c r="H360" s="5">
        <v>45971.193923611114</v>
      </c>
      <c r="I360" s="6" t="s">
        <v>86</v>
      </c>
      <c r="J360" s="5">
        <v>45995.444097222222</v>
      </c>
      <c r="L360" s="6" t="s">
        <v>87</v>
      </c>
      <c r="M360" s="5">
        <v>45995.444097222222</v>
      </c>
      <c r="N360" s="5" t="s">
        <v>15</v>
      </c>
      <c r="O360" s="45" t="str">
        <f>_xlfn.XLOOKUP(TAB.IDEIAS.TOTAL[[#This Row],[Enviado por]],'BASE DMOS'!A:A,'BASE DMOS'!C:C,"Não encontrado")</f>
        <v>OPERAÇÃO</v>
      </c>
    </row>
    <row r="361" spans="1:15" ht="43.5" x14ac:dyDescent="0.35">
      <c r="A361" s="6" t="s">
        <v>1253</v>
      </c>
      <c r="B361" s="6" t="s">
        <v>1254</v>
      </c>
      <c r="C361" s="6" t="s">
        <v>134</v>
      </c>
      <c r="D361" s="6" t="s">
        <v>1255</v>
      </c>
      <c r="E361" s="6" t="s">
        <v>688</v>
      </c>
      <c r="F361" s="6" t="s">
        <v>17</v>
      </c>
      <c r="G361" s="6" t="s">
        <v>24</v>
      </c>
      <c r="H361" s="5">
        <v>45971.364155092589</v>
      </c>
      <c r="I361" s="6" t="s">
        <v>86</v>
      </c>
      <c r="J361" s="5">
        <v>46041.38559027778</v>
      </c>
      <c r="K361" s="6" t="s">
        <v>688</v>
      </c>
      <c r="L361" s="6" t="s">
        <v>87</v>
      </c>
      <c r="M361" s="5">
        <v>46041.38559027778</v>
      </c>
      <c r="N361" s="5" t="s">
        <v>134</v>
      </c>
      <c r="O361" s="45" t="str">
        <f>_xlfn.XLOOKUP(TAB.IDEIAS.TOTAL[[#This Row],[Enviado por]],'BASE DMOS'!A:A,'BASE DMOS'!C:C,"Não encontrado")</f>
        <v>ADM/TÉCNICO/ASSISTENTE/ESTAG.</v>
      </c>
    </row>
    <row r="362" spans="1:15" ht="29" x14ac:dyDescent="0.35">
      <c r="A362" s="6" t="s">
        <v>1256</v>
      </c>
      <c r="B362" s="6" t="s">
        <v>1257</v>
      </c>
      <c r="C362" s="6" t="s">
        <v>15</v>
      </c>
      <c r="D362" s="6" t="s">
        <v>1258</v>
      </c>
      <c r="E362" s="6" t="s">
        <v>438</v>
      </c>
      <c r="F362" s="6" t="s">
        <v>17</v>
      </c>
      <c r="G362" s="6" t="s">
        <v>61</v>
      </c>
      <c r="H362" s="5">
        <v>45971.839502314811</v>
      </c>
      <c r="I362" s="6" t="s">
        <v>25</v>
      </c>
      <c r="J362" s="5">
        <v>45973.641701388886</v>
      </c>
      <c r="L362" s="6" t="s">
        <v>26</v>
      </c>
      <c r="M362" s="5">
        <v>45973.641701388886</v>
      </c>
      <c r="N362" s="5" t="s">
        <v>15</v>
      </c>
      <c r="O362" s="45" t="str">
        <f>_xlfn.XLOOKUP(TAB.IDEIAS.TOTAL[[#This Row],[Enviado por]],'BASE DMOS'!A:A,'BASE DMOS'!C:C,"Não encontrado")</f>
        <v>OPERAÇÃO</v>
      </c>
    </row>
    <row r="363" spans="1:15" ht="29" x14ac:dyDescent="0.35">
      <c r="A363" s="6" t="s">
        <v>1259</v>
      </c>
      <c r="B363" s="6" t="s">
        <v>1260</v>
      </c>
      <c r="C363" s="6" t="s">
        <v>148</v>
      </c>
      <c r="D363" s="6" t="s">
        <v>1261</v>
      </c>
      <c r="E363" s="6" t="s">
        <v>23</v>
      </c>
      <c r="F363" s="6" t="s">
        <v>17</v>
      </c>
      <c r="G363" s="6" t="s">
        <v>18</v>
      </c>
      <c r="H363" s="5">
        <v>45972.208275462966</v>
      </c>
      <c r="I363" s="6" t="s">
        <v>25</v>
      </c>
      <c r="J363" s="5">
        <v>46141.546168981484</v>
      </c>
      <c r="K363" s="6" t="s">
        <v>58</v>
      </c>
      <c r="L363" s="6" t="s">
        <v>26</v>
      </c>
      <c r="M363" s="5"/>
      <c r="N363" s="5" t="s">
        <v>148</v>
      </c>
      <c r="O363" s="45" t="str">
        <f>_xlfn.XLOOKUP(TAB.IDEIAS.TOTAL[[#This Row],[Enviado por]],'BASE DMOS'!A:A,'BASE DMOS'!C:C,"Não encontrado")</f>
        <v>OPERAÇÃO</v>
      </c>
    </row>
    <row r="364" spans="1:15" ht="29" x14ac:dyDescent="0.35">
      <c r="A364" s="6" t="s">
        <v>1262</v>
      </c>
      <c r="B364" s="6" t="s">
        <v>1263</v>
      </c>
      <c r="C364" s="6" t="s">
        <v>148</v>
      </c>
      <c r="D364" s="6" t="s">
        <v>1264</v>
      </c>
      <c r="E364" s="6" t="s">
        <v>105</v>
      </c>
      <c r="F364" s="6" t="s">
        <v>17</v>
      </c>
      <c r="G364" s="6" t="s">
        <v>61</v>
      </c>
      <c r="H364" s="5">
        <v>45972.212245370371</v>
      </c>
      <c r="I364" s="6" t="s">
        <v>50</v>
      </c>
      <c r="J364" s="5">
        <v>46206.460578703707</v>
      </c>
      <c r="K364" s="6" t="s">
        <v>78</v>
      </c>
      <c r="L364" s="6" t="s">
        <v>66</v>
      </c>
      <c r="M364" s="5"/>
      <c r="N364" s="5" t="s">
        <v>148</v>
      </c>
      <c r="O364" s="45" t="str">
        <f>_xlfn.XLOOKUP(TAB.IDEIAS.TOTAL[[#This Row],[Enviado por]],'BASE DMOS'!A:A,'BASE DMOS'!C:C,"Não encontrado")</f>
        <v>ADM/TÉCNICO/ASSISTENTE/ESTAG.</v>
      </c>
    </row>
    <row r="365" spans="1:15" ht="29" x14ac:dyDescent="0.35">
      <c r="A365" s="6" t="s">
        <v>1265</v>
      </c>
      <c r="B365" s="6" t="s">
        <v>1266</v>
      </c>
      <c r="C365" s="6" t="s">
        <v>134</v>
      </c>
      <c r="D365" s="6" t="s">
        <v>1267</v>
      </c>
      <c r="E365" s="6" t="s">
        <v>53</v>
      </c>
      <c r="F365" s="6" t="s">
        <v>17</v>
      </c>
      <c r="G365" s="6" t="s">
        <v>18</v>
      </c>
      <c r="H365" s="5">
        <v>45972.41269675926</v>
      </c>
      <c r="I365" s="6" t="s">
        <v>36</v>
      </c>
      <c r="J365" s="5">
        <v>45973.588240740741</v>
      </c>
      <c r="K365" s="6" t="s">
        <v>90</v>
      </c>
      <c r="L365" s="6" t="s">
        <v>66</v>
      </c>
      <c r="M365" s="5">
        <v>45973.588240740741</v>
      </c>
      <c r="N365" s="5" t="s">
        <v>134</v>
      </c>
      <c r="O365" s="45" t="str">
        <f>_xlfn.XLOOKUP(TAB.IDEIAS.TOTAL[[#This Row],[Enviado por]],'BASE DMOS'!A:A,'BASE DMOS'!C:C,"Não encontrado")</f>
        <v>OPERAÇÃO</v>
      </c>
    </row>
    <row r="366" spans="1:15" ht="58" x14ac:dyDescent="0.35">
      <c r="A366" s="6" t="s">
        <v>1268</v>
      </c>
      <c r="B366" s="6" t="s">
        <v>1269</v>
      </c>
      <c r="C366" s="6" t="s">
        <v>861</v>
      </c>
      <c r="D366" s="6" t="s">
        <v>1270</v>
      </c>
      <c r="E366" s="6" t="s">
        <v>109</v>
      </c>
      <c r="F366" s="6" t="s">
        <v>17</v>
      </c>
      <c r="G366" s="6" t="s">
        <v>61</v>
      </c>
      <c r="H366" s="5">
        <v>45972.719050925924</v>
      </c>
      <c r="I366" s="6" t="s">
        <v>98</v>
      </c>
      <c r="J366" s="5">
        <v>46206.461851851855</v>
      </c>
      <c r="L366" s="6" t="s">
        <v>66</v>
      </c>
      <c r="M366" s="5"/>
      <c r="N366" s="5" t="s">
        <v>861</v>
      </c>
      <c r="O366" s="45" t="str">
        <f>_xlfn.XLOOKUP(TAB.IDEIAS.TOTAL[[#This Row],[Enviado por]],'BASE DMOS'!A:A,'BASE DMOS'!C:C,"Não encontrado")</f>
        <v>ADM/TÉCNICO/ASSISTENTE/ESTAG.</v>
      </c>
    </row>
    <row r="367" spans="1:15" ht="101.5" x14ac:dyDescent="0.35">
      <c r="A367" s="6" t="s">
        <v>1271</v>
      </c>
      <c r="B367" s="6" t="s">
        <v>1272</v>
      </c>
      <c r="C367" s="6" t="s">
        <v>134</v>
      </c>
      <c r="D367" s="6" t="s">
        <v>1273</v>
      </c>
      <c r="E367" s="6" t="s">
        <v>53</v>
      </c>
      <c r="F367" s="6" t="s">
        <v>17</v>
      </c>
      <c r="G367" s="6" t="s">
        <v>30</v>
      </c>
      <c r="H367" s="5">
        <v>45973.414502314816</v>
      </c>
      <c r="I367" s="6" t="s">
        <v>36</v>
      </c>
      <c r="J367" s="5">
        <v>45992.560636574075</v>
      </c>
      <c r="K367" s="6" t="s">
        <v>58</v>
      </c>
      <c r="L367" s="6" t="s">
        <v>66</v>
      </c>
      <c r="M367" s="5">
        <v>45992.560636574075</v>
      </c>
      <c r="N367" s="5" t="s">
        <v>134</v>
      </c>
      <c r="O367" s="45" t="str">
        <f>_xlfn.XLOOKUP(TAB.IDEIAS.TOTAL[[#This Row],[Enviado por]],'BASE DMOS'!A:A,'BASE DMOS'!C:C,"Não encontrado")</f>
        <v>OPERAÇÃO</v>
      </c>
    </row>
    <row r="368" spans="1:15" ht="29" x14ac:dyDescent="0.35">
      <c r="A368" s="6" t="s">
        <v>1274</v>
      </c>
      <c r="B368" s="6" t="s">
        <v>1275</v>
      </c>
      <c r="C368" s="6" t="s">
        <v>15</v>
      </c>
      <c r="D368" s="6" t="s">
        <v>1276</v>
      </c>
      <c r="E368" s="6" t="s">
        <v>117</v>
      </c>
      <c r="F368" s="6" t="s">
        <v>17</v>
      </c>
      <c r="G368" s="6" t="s">
        <v>61</v>
      </c>
      <c r="H368" s="5">
        <v>45973.561886574076</v>
      </c>
      <c r="I368" s="6" t="s">
        <v>272</v>
      </c>
      <c r="J368" s="5">
        <v>45973.570914351854</v>
      </c>
      <c r="L368" s="6" t="s">
        <v>273</v>
      </c>
      <c r="M368" s="5">
        <v>45973.570914351854</v>
      </c>
      <c r="N368" s="5" t="s">
        <v>15</v>
      </c>
      <c r="O368" s="45" t="str">
        <f>_xlfn.XLOOKUP(TAB.IDEIAS.TOTAL[[#This Row],[Enviado por]],'BASE DMOS'!A:A,'BASE DMOS'!C:C,"Não encontrado")</f>
        <v>ADM/TÉCNICO/ASSISTENTE/ESTAG.</v>
      </c>
    </row>
    <row r="369" spans="1:15" ht="29" x14ac:dyDescent="0.35">
      <c r="A369" s="6" t="s">
        <v>1277</v>
      </c>
      <c r="B369" s="6" t="s">
        <v>1278</v>
      </c>
      <c r="C369" s="6" t="s">
        <v>148</v>
      </c>
      <c r="D369" s="6" t="s">
        <v>1279</v>
      </c>
      <c r="E369" s="6" t="s">
        <v>108</v>
      </c>
      <c r="F369" s="6" t="s">
        <v>17</v>
      </c>
      <c r="G369" s="6" t="s">
        <v>61</v>
      </c>
      <c r="H369" s="5">
        <v>45973.643935185188</v>
      </c>
      <c r="I369" s="6" t="s">
        <v>98</v>
      </c>
      <c r="J369" s="5">
        <v>46206.462037037039</v>
      </c>
      <c r="K369" s="6" t="s">
        <v>243</v>
      </c>
      <c r="L369" s="6" t="s">
        <v>66</v>
      </c>
      <c r="M369" s="5"/>
      <c r="N369" s="5" t="s">
        <v>148</v>
      </c>
      <c r="O369" s="45" t="str">
        <f>_xlfn.XLOOKUP(TAB.IDEIAS.TOTAL[[#This Row],[Enviado por]],'BASE DMOS'!A:A,'BASE DMOS'!C:C,"Não encontrado")</f>
        <v>ADM/TÉCNICO/ASSISTENTE/ESTAG.</v>
      </c>
    </row>
    <row r="370" spans="1:15" ht="130.5" x14ac:dyDescent="0.35">
      <c r="A370" s="6" t="s">
        <v>1280</v>
      </c>
      <c r="B370" s="6" t="s">
        <v>1281</v>
      </c>
      <c r="C370" s="6" t="s">
        <v>184</v>
      </c>
      <c r="D370" s="6" t="s">
        <v>1282</v>
      </c>
      <c r="E370" s="6" t="s">
        <v>299</v>
      </c>
      <c r="F370" s="6" t="s">
        <v>17</v>
      </c>
      <c r="G370" s="6" t="s">
        <v>30</v>
      </c>
      <c r="H370" s="5">
        <v>45974.141053240739</v>
      </c>
      <c r="I370" s="6" t="s">
        <v>50</v>
      </c>
      <c r="J370" s="5">
        <v>46276.609965277778</v>
      </c>
      <c r="K370" s="6" t="s">
        <v>117</v>
      </c>
      <c r="L370" s="6" t="s">
        <v>66</v>
      </c>
      <c r="M370" s="5"/>
      <c r="N370" s="43" t="s">
        <v>186</v>
      </c>
      <c r="O370" s="45" t="str">
        <f>_xlfn.XLOOKUP(TAB.IDEIAS.TOTAL[[#This Row],[Enviado por]],'BASE DMOS'!A:A,'BASE DMOS'!C:C,"Não encontrado")</f>
        <v>OPERAÇÃO</v>
      </c>
    </row>
    <row r="371" spans="1:15" ht="29" x14ac:dyDescent="0.35">
      <c r="A371" s="6" t="s">
        <v>1283</v>
      </c>
      <c r="B371" s="6" t="s">
        <v>1284</v>
      </c>
      <c r="C371" s="6" t="s">
        <v>134</v>
      </c>
      <c r="D371" s="6" t="s">
        <v>1285</v>
      </c>
      <c r="E371" s="6" t="s">
        <v>299</v>
      </c>
      <c r="F371" s="6" t="s">
        <v>17</v>
      </c>
      <c r="G371" s="6" t="s">
        <v>18</v>
      </c>
      <c r="H371" s="5">
        <v>45974.214386574073</v>
      </c>
      <c r="I371" s="6" t="s">
        <v>174</v>
      </c>
      <c r="J371" s="5">
        <v>46009.419895833336</v>
      </c>
      <c r="K371" s="6" t="s">
        <v>105</v>
      </c>
      <c r="L371" s="6" t="s">
        <v>66</v>
      </c>
      <c r="M371" s="5">
        <v>46009.419895833336</v>
      </c>
      <c r="N371" s="5" t="s">
        <v>134</v>
      </c>
      <c r="O371" s="45" t="str">
        <f>_xlfn.XLOOKUP(TAB.IDEIAS.TOTAL[[#This Row],[Enviado por]],'BASE DMOS'!A:A,'BASE DMOS'!C:C,"Não encontrado")</f>
        <v>OPERAÇÃO</v>
      </c>
    </row>
    <row r="372" spans="1:15" ht="87" x14ac:dyDescent="0.35">
      <c r="A372" s="6" t="s">
        <v>1286</v>
      </c>
      <c r="B372" s="6" t="s">
        <v>1287</v>
      </c>
      <c r="C372" s="6" t="s">
        <v>15</v>
      </c>
      <c r="D372" s="6" t="s">
        <v>1288</v>
      </c>
      <c r="E372" s="6" t="s">
        <v>299</v>
      </c>
      <c r="F372" s="6" t="s">
        <v>17</v>
      </c>
      <c r="G372" s="6" t="s">
        <v>30</v>
      </c>
      <c r="H372" s="5">
        <v>45974.2187962963</v>
      </c>
      <c r="I372" s="6" t="s">
        <v>174</v>
      </c>
      <c r="J372" s="5">
        <v>45985.559421296297</v>
      </c>
      <c r="L372" s="6" t="s">
        <v>66</v>
      </c>
      <c r="M372" s="5">
        <v>45985.559421296297</v>
      </c>
      <c r="N372" s="5" t="s">
        <v>15</v>
      </c>
      <c r="O372" s="45" t="str">
        <f>_xlfn.XLOOKUP(TAB.IDEIAS.TOTAL[[#This Row],[Enviado por]],'BASE DMOS'!A:A,'BASE DMOS'!C:C,"Não encontrado")</f>
        <v>OPERAÇÃO</v>
      </c>
    </row>
    <row r="373" spans="1:15" ht="72.5" x14ac:dyDescent="0.35">
      <c r="A373" s="6" t="s">
        <v>1289</v>
      </c>
      <c r="B373" s="6" t="s">
        <v>1290</v>
      </c>
      <c r="C373" s="6" t="s">
        <v>134</v>
      </c>
      <c r="D373" s="6" t="s">
        <v>1291</v>
      </c>
      <c r="E373" s="6" t="s">
        <v>299</v>
      </c>
      <c r="F373" s="6" t="s">
        <v>17</v>
      </c>
      <c r="G373" s="6" t="s">
        <v>30</v>
      </c>
      <c r="H373" s="5">
        <v>45974.223020833335</v>
      </c>
      <c r="I373" s="6" t="s">
        <v>174</v>
      </c>
      <c r="J373" s="5">
        <v>46009.420127314814</v>
      </c>
      <c r="K373" s="6" t="s">
        <v>105</v>
      </c>
      <c r="L373" s="6" t="s">
        <v>66</v>
      </c>
      <c r="M373" s="5">
        <v>46009.420127314814</v>
      </c>
      <c r="N373" s="5" t="s">
        <v>134</v>
      </c>
      <c r="O373" s="45" t="str">
        <f>_xlfn.XLOOKUP(TAB.IDEIAS.TOTAL[[#This Row],[Enviado por]],'BASE DMOS'!A:A,'BASE DMOS'!C:C,"Não encontrado")</f>
        <v>OPERAÇÃO</v>
      </c>
    </row>
    <row r="374" spans="1:15" ht="29" x14ac:dyDescent="0.35">
      <c r="A374" s="6" t="s">
        <v>1292</v>
      </c>
      <c r="B374" s="6" t="s">
        <v>1293</v>
      </c>
      <c r="C374" s="6" t="s">
        <v>184</v>
      </c>
      <c r="D374" s="6" t="s">
        <v>1294</v>
      </c>
      <c r="E374" s="6" t="s">
        <v>85</v>
      </c>
      <c r="F374" s="6" t="s">
        <v>17</v>
      </c>
      <c r="G374" s="6" t="s">
        <v>18</v>
      </c>
      <c r="H374" s="5">
        <v>45974.554664351854</v>
      </c>
      <c r="I374" s="6" t="s">
        <v>50</v>
      </c>
      <c r="J374" s="5">
        <v>46244.588946759257</v>
      </c>
      <c r="K374" s="6" t="s">
        <v>82</v>
      </c>
      <c r="L374" s="6" t="s">
        <v>66</v>
      </c>
      <c r="M374" s="5"/>
      <c r="N374" s="43" t="s">
        <v>186</v>
      </c>
      <c r="O374" s="45" t="str">
        <f>_xlfn.XLOOKUP(TAB.IDEIAS.TOTAL[[#This Row],[Enviado por]],'BASE DMOS'!A:A,'BASE DMOS'!C:C,"Não encontrado")</f>
        <v>ADM/TÉCNICO/ASSISTENTE/ESTAG.</v>
      </c>
    </row>
    <row r="375" spans="1:15" ht="43.5" x14ac:dyDescent="0.35">
      <c r="A375" s="6" t="s">
        <v>1295</v>
      </c>
      <c r="B375" s="6" t="s">
        <v>1296</v>
      </c>
      <c r="C375" s="6" t="s">
        <v>134</v>
      </c>
      <c r="D375" s="6" t="s">
        <v>1297</v>
      </c>
      <c r="E375" s="6" t="s">
        <v>355</v>
      </c>
      <c r="F375" s="6" t="s">
        <v>17</v>
      </c>
      <c r="G375" s="6" t="s">
        <v>30</v>
      </c>
      <c r="H375" s="5">
        <v>45974.704004629632</v>
      </c>
      <c r="I375" s="6" t="s">
        <v>91</v>
      </c>
      <c r="J375" s="5">
        <v>46027.367974537039</v>
      </c>
      <c r="K375" s="6" t="s">
        <v>105</v>
      </c>
      <c r="L375" s="6" t="s">
        <v>32</v>
      </c>
      <c r="M375" s="5">
        <v>46027.367974537039</v>
      </c>
      <c r="N375" s="5" t="s">
        <v>134</v>
      </c>
      <c r="O375" s="45" t="str">
        <f>_xlfn.XLOOKUP(TAB.IDEIAS.TOTAL[[#This Row],[Enviado por]],'BASE DMOS'!A:A,'BASE DMOS'!C:C,"Não encontrado")</f>
        <v>ADM/TÉCNICO/ASSISTENTE/ESTAG.</v>
      </c>
    </row>
    <row r="376" spans="1:15" ht="58" x14ac:dyDescent="0.35">
      <c r="A376" s="6" t="s">
        <v>1298</v>
      </c>
      <c r="B376" s="6" t="s">
        <v>1299</v>
      </c>
      <c r="C376" s="6" t="s">
        <v>134</v>
      </c>
      <c r="D376" s="6" t="s">
        <v>1300</v>
      </c>
      <c r="E376" s="6" t="s">
        <v>355</v>
      </c>
      <c r="F376" s="6" t="s">
        <v>17</v>
      </c>
      <c r="G376" s="6" t="s">
        <v>30</v>
      </c>
      <c r="H376" s="5">
        <v>45974.705231481479</v>
      </c>
      <c r="I376" s="6" t="s">
        <v>91</v>
      </c>
      <c r="J376" s="5">
        <v>46009.417280092595</v>
      </c>
      <c r="K376" s="6" t="s">
        <v>105</v>
      </c>
      <c r="L376" s="6" t="s">
        <v>32</v>
      </c>
      <c r="M376" s="5">
        <v>46009.417280092595</v>
      </c>
      <c r="N376" s="5" t="s">
        <v>134</v>
      </c>
      <c r="O376" s="45" t="str">
        <f>_xlfn.XLOOKUP(TAB.IDEIAS.TOTAL[[#This Row],[Enviado por]],'BASE DMOS'!A:A,'BASE DMOS'!C:C,"Não encontrado")</f>
        <v>ADM/TÉCNICO/ASSISTENTE/ESTAG.</v>
      </c>
    </row>
    <row r="377" spans="1:15" ht="43.5" x14ac:dyDescent="0.35">
      <c r="A377" s="6" t="s">
        <v>1301</v>
      </c>
      <c r="B377" s="6" t="s">
        <v>1302</v>
      </c>
      <c r="C377" s="6" t="s">
        <v>184</v>
      </c>
      <c r="D377" s="6" t="s">
        <v>1303</v>
      </c>
      <c r="E377" s="6" t="s">
        <v>58</v>
      </c>
      <c r="F377" s="6" t="s">
        <v>17</v>
      </c>
      <c r="G377" s="6" t="s">
        <v>30</v>
      </c>
      <c r="H377" s="5">
        <v>45975.595578703702</v>
      </c>
      <c r="I377" s="6" t="s">
        <v>36</v>
      </c>
      <c r="J377" s="5">
        <v>45975.59684027778</v>
      </c>
      <c r="K377" s="6" t="s">
        <v>78</v>
      </c>
      <c r="L377" s="6" t="s">
        <v>66</v>
      </c>
      <c r="M377" s="5"/>
      <c r="N377" s="43" t="s">
        <v>186</v>
      </c>
      <c r="O377" s="45" t="str">
        <f>_xlfn.XLOOKUP(TAB.IDEIAS.TOTAL[[#This Row],[Enviado por]],'BASE DMOS'!A:A,'BASE DMOS'!C:C,"Não encontrado")</f>
        <v>ADM/TÉCNICO/ASSISTENTE/ESTAG.</v>
      </c>
    </row>
    <row r="378" spans="1:15" ht="29" x14ac:dyDescent="0.35">
      <c r="A378" s="6" t="s">
        <v>1304</v>
      </c>
      <c r="B378" s="6" t="s">
        <v>1305</v>
      </c>
      <c r="C378" s="6" t="s">
        <v>134</v>
      </c>
      <c r="D378" s="6" t="s">
        <v>1306</v>
      </c>
      <c r="E378" s="6" t="s">
        <v>58</v>
      </c>
      <c r="F378" s="6" t="s">
        <v>17</v>
      </c>
      <c r="G378" s="6" t="s">
        <v>30</v>
      </c>
      <c r="H378" s="5">
        <v>45978.627858796295</v>
      </c>
      <c r="I378" s="6" t="s">
        <v>458</v>
      </c>
      <c r="J378" s="5">
        <v>46009.42087962963</v>
      </c>
      <c r="K378" s="6" t="s">
        <v>105</v>
      </c>
      <c r="L378" s="6" t="s">
        <v>66</v>
      </c>
      <c r="M378" s="5">
        <v>46009.42087962963</v>
      </c>
      <c r="N378" s="5" t="s">
        <v>134</v>
      </c>
      <c r="O378" s="45" t="str">
        <f>_xlfn.XLOOKUP(TAB.IDEIAS.TOTAL[[#This Row],[Enviado por]],'BASE DMOS'!A:A,'BASE DMOS'!C:C,"Não encontrado")</f>
        <v>ADM/TÉCNICO/ASSISTENTE/ESTAG.</v>
      </c>
    </row>
    <row r="379" spans="1:15" ht="29" x14ac:dyDescent="0.35">
      <c r="A379" s="6" t="s">
        <v>1307</v>
      </c>
      <c r="B379" s="6" t="s">
        <v>1308</v>
      </c>
      <c r="C379" s="6" t="s">
        <v>134</v>
      </c>
      <c r="D379" s="6" t="s">
        <v>1309</v>
      </c>
      <c r="E379" s="6" t="s">
        <v>58</v>
      </c>
      <c r="F379" s="6" t="s">
        <v>17</v>
      </c>
      <c r="G379" s="6" t="s">
        <v>30</v>
      </c>
      <c r="H379" s="5">
        <v>45978.640752314815</v>
      </c>
      <c r="I379" s="6" t="s">
        <v>36</v>
      </c>
      <c r="J379" s="5">
        <v>46009.420787037037</v>
      </c>
      <c r="K379" s="6" t="s">
        <v>105</v>
      </c>
      <c r="L379" s="6" t="s">
        <v>66</v>
      </c>
      <c r="M379" s="5">
        <v>46009.420787037037</v>
      </c>
      <c r="N379" s="5" t="s">
        <v>134</v>
      </c>
      <c r="O379" s="45" t="str">
        <f>_xlfn.XLOOKUP(TAB.IDEIAS.TOTAL[[#This Row],[Enviado por]],'BASE DMOS'!A:A,'BASE DMOS'!C:C,"Não encontrado")</f>
        <v>ADM/TÉCNICO/ASSISTENTE/ESTAG.</v>
      </c>
    </row>
    <row r="380" spans="1:15" ht="43.5" x14ac:dyDescent="0.35">
      <c r="A380" s="6" t="s">
        <v>1310</v>
      </c>
      <c r="B380" s="6" t="s">
        <v>1311</v>
      </c>
      <c r="C380" s="6" t="s">
        <v>184</v>
      </c>
      <c r="D380" s="6" t="s">
        <v>1312</v>
      </c>
      <c r="E380" s="6" t="s">
        <v>58</v>
      </c>
      <c r="F380" s="6" t="s">
        <v>17</v>
      </c>
      <c r="G380" s="6" t="s">
        <v>30</v>
      </c>
      <c r="H380" s="5">
        <v>45978.668773148151</v>
      </c>
      <c r="I380" s="6" t="s">
        <v>174</v>
      </c>
      <c r="J380" s="5">
        <v>46244.587476851855</v>
      </c>
      <c r="K380" s="6" t="s">
        <v>82</v>
      </c>
      <c r="L380" s="6" t="s">
        <v>66</v>
      </c>
      <c r="M380" s="5"/>
      <c r="N380" s="43" t="s">
        <v>186</v>
      </c>
      <c r="O380" s="45" t="str">
        <f>_xlfn.XLOOKUP(TAB.IDEIAS.TOTAL[[#This Row],[Enviado por]],'BASE DMOS'!A:A,'BASE DMOS'!C:C,"Não encontrado")</f>
        <v>ADM/TÉCNICO/ASSISTENTE/ESTAG.</v>
      </c>
    </row>
    <row r="381" spans="1:15" ht="43.5" x14ac:dyDescent="0.35">
      <c r="A381" s="6" t="s">
        <v>1313</v>
      </c>
      <c r="B381" s="6" t="s">
        <v>1314</v>
      </c>
      <c r="C381" s="6" t="s">
        <v>148</v>
      </c>
      <c r="D381" s="6" t="s">
        <v>1315</v>
      </c>
      <c r="E381" s="6" t="s">
        <v>193</v>
      </c>
      <c r="F381" s="6" t="s">
        <v>17</v>
      </c>
      <c r="G381" s="6" t="s">
        <v>30</v>
      </c>
      <c r="H381" s="5">
        <v>45979.416215277779</v>
      </c>
      <c r="I381" s="6" t="s">
        <v>91</v>
      </c>
      <c r="J381" s="5">
        <v>46105.639409722222</v>
      </c>
      <c r="L381" s="6" t="s">
        <v>32</v>
      </c>
      <c r="M381" s="5"/>
      <c r="N381" s="5" t="s">
        <v>148</v>
      </c>
      <c r="O381" s="45" t="str">
        <f>_xlfn.XLOOKUP(TAB.IDEIAS.TOTAL[[#This Row],[Enviado por]],'BASE DMOS'!A:A,'BASE DMOS'!C:C,"Não encontrado")</f>
        <v>OPERAÇÃO</v>
      </c>
    </row>
    <row r="382" spans="1:15" ht="116" x14ac:dyDescent="0.35">
      <c r="A382" s="6" t="s">
        <v>88</v>
      </c>
      <c r="B382" s="6" t="s">
        <v>89</v>
      </c>
      <c r="C382" s="6" t="s">
        <v>184</v>
      </c>
      <c r="D382" s="6" t="s">
        <v>1316</v>
      </c>
      <c r="E382" s="6" t="s">
        <v>90</v>
      </c>
      <c r="F382" s="6" t="s">
        <v>17</v>
      </c>
      <c r="G382" s="6" t="s">
        <v>18</v>
      </c>
      <c r="H382" s="5">
        <v>45980.398333333331</v>
      </c>
      <c r="I382" s="6" t="s">
        <v>91</v>
      </c>
      <c r="J382" s="5">
        <v>46143.55265046296</v>
      </c>
      <c r="L382" s="6" t="s">
        <v>32</v>
      </c>
      <c r="M382" s="5"/>
      <c r="N382" s="14" t="s">
        <v>374</v>
      </c>
      <c r="O382" s="45" t="str">
        <f>_xlfn.XLOOKUP(TAB.IDEIAS.TOTAL[[#This Row],[Enviado por]],'BASE DMOS'!A:A,'BASE DMOS'!C:C,"Não encontrado")</f>
        <v>OPERAÇÃO</v>
      </c>
    </row>
    <row r="383" spans="1:15" ht="130.5" x14ac:dyDescent="0.35">
      <c r="A383" s="6" t="s">
        <v>1317</v>
      </c>
      <c r="B383" s="6" t="s">
        <v>1318</v>
      </c>
      <c r="C383" s="6" t="s">
        <v>861</v>
      </c>
      <c r="D383" s="6" t="s">
        <v>1319</v>
      </c>
      <c r="E383" s="6" t="s">
        <v>90</v>
      </c>
      <c r="F383" s="6" t="s">
        <v>17</v>
      </c>
      <c r="G383" s="6" t="s">
        <v>18</v>
      </c>
      <c r="H383" s="5">
        <v>45980.404930555553</v>
      </c>
      <c r="I383" s="6" t="s">
        <v>31</v>
      </c>
      <c r="J383" s="5">
        <v>46203.589421296296</v>
      </c>
      <c r="L383" s="6" t="s">
        <v>66</v>
      </c>
      <c r="M383" s="5"/>
      <c r="N383" s="5" t="s">
        <v>861</v>
      </c>
      <c r="O383" s="45" t="str">
        <f>_xlfn.XLOOKUP(TAB.IDEIAS.TOTAL[[#This Row],[Enviado por]],'BASE DMOS'!A:A,'BASE DMOS'!C:C,"Não encontrado")</f>
        <v>OPERAÇÃO</v>
      </c>
    </row>
    <row r="384" spans="1:15" ht="29" x14ac:dyDescent="0.35">
      <c r="A384" s="6" t="s">
        <v>1320</v>
      </c>
      <c r="B384" s="6" t="s">
        <v>1321</v>
      </c>
      <c r="C384" s="6" t="s">
        <v>15</v>
      </c>
      <c r="D384" s="6" t="s">
        <v>1322</v>
      </c>
      <c r="E384" s="6" t="s">
        <v>77</v>
      </c>
      <c r="F384" s="6" t="s">
        <v>17</v>
      </c>
      <c r="G384" s="6" t="s">
        <v>61</v>
      </c>
      <c r="H384" s="5">
        <v>45980.741967592592</v>
      </c>
      <c r="I384" s="6" t="s">
        <v>174</v>
      </c>
      <c r="J384" s="5">
        <v>45992.565752314818</v>
      </c>
      <c r="L384" s="6" t="s">
        <v>66</v>
      </c>
      <c r="M384" s="5">
        <v>45992.565752314818</v>
      </c>
      <c r="N384" s="5" t="s">
        <v>15</v>
      </c>
      <c r="O384" s="45" t="str">
        <f>_xlfn.XLOOKUP(TAB.IDEIAS.TOTAL[[#This Row],[Enviado por]],'BASE DMOS'!A:A,'BASE DMOS'!C:C,"Não encontrado")</f>
        <v>OPERAÇÃO</v>
      </c>
    </row>
    <row r="385" spans="1:15" ht="43.5" x14ac:dyDescent="0.35">
      <c r="A385" s="6" t="s">
        <v>1323</v>
      </c>
      <c r="B385" s="6" t="s">
        <v>1324</v>
      </c>
      <c r="C385" s="6" t="s">
        <v>134</v>
      </c>
      <c r="D385" s="6" t="s">
        <v>1325</v>
      </c>
      <c r="E385" s="6" t="s">
        <v>105</v>
      </c>
      <c r="F385" s="6" t="s">
        <v>17</v>
      </c>
      <c r="G385" s="6" t="s">
        <v>54</v>
      </c>
      <c r="H385" s="5">
        <v>45982.010717592595</v>
      </c>
      <c r="I385" s="6" t="s">
        <v>19</v>
      </c>
      <c r="J385" s="5">
        <v>45986.374363425923</v>
      </c>
      <c r="K385" s="6" t="s">
        <v>105</v>
      </c>
      <c r="L385" s="6" t="s">
        <v>20</v>
      </c>
      <c r="M385" s="5">
        <v>45986.374363425923</v>
      </c>
      <c r="N385" s="5" t="s">
        <v>134</v>
      </c>
      <c r="O385" s="45" t="str">
        <f>_xlfn.XLOOKUP(TAB.IDEIAS.TOTAL[[#This Row],[Enviado por]],'BASE DMOS'!A:A,'BASE DMOS'!C:C,"Não encontrado")</f>
        <v>ADM/TÉCNICO/ASSISTENTE/ESTAG.</v>
      </c>
    </row>
    <row r="386" spans="1:15" ht="43.5" x14ac:dyDescent="0.35">
      <c r="A386" s="6" t="s">
        <v>1326</v>
      </c>
      <c r="B386" s="6" t="s">
        <v>1327</v>
      </c>
      <c r="C386" s="6" t="s">
        <v>134</v>
      </c>
      <c r="D386" s="6" t="s">
        <v>1328</v>
      </c>
      <c r="E386" s="6" t="s">
        <v>105</v>
      </c>
      <c r="F386" s="6" t="s">
        <v>17</v>
      </c>
      <c r="G386" s="6" t="s">
        <v>54</v>
      </c>
      <c r="H386" s="5">
        <v>45982.01189814815</v>
      </c>
      <c r="I386" s="6" t="s">
        <v>19</v>
      </c>
      <c r="J386" s="5">
        <v>45986.374814814815</v>
      </c>
      <c r="K386" s="6" t="s">
        <v>105</v>
      </c>
      <c r="L386" s="6" t="s">
        <v>20</v>
      </c>
      <c r="M386" s="5">
        <v>45986.374814814815</v>
      </c>
      <c r="N386" s="5" t="s">
        <v>134</v>
      </c>
      <c r="O386" s="45" t="str">
        <f>_xlfn.XLOOKUP(TAB.IDEIAS.TOTAL[[#This Row],[Enviado por]],'BASE DMOS'!A:A,'BASE DMOS'!C:C,"Não encontrado")</f>
        <v>ADM/TÉCNICO/ASSISTENTE/ESTAG.</v>
      </c>
    </row>
    <row r="387" spans="1:15" ht="8.25" customHeight="1" x14ac:dyDescent="0.35">
      <c r="A387" s="6" t="s">
        <v>1329</v>
      </c>
      <c r="B387" s="6" t="s">
        <v>1330</v>
      </c>
      <c r="C387" s="6" t="s">
        <v>134</v>
      </c>
      <c r="D387" s="6" t="s">
        <v>1331</v>
      </c>
      <c r="E387" s="6" t="s">
        <v>145</v>
      </c>
      <c r="F387" s="6" t="s">
        <v>17</v>
      </c>
      <c r="G387" s="6" t="s">
        <v>61</v>
      </c>
      <c r="H387" s="5">
        <v>45986.446261574078</v>
      </c>
      <c r="I387" s="6" t="s">
        <v>25</v>
      </c>
      <c r="J387" s="5">
        <v>45986.567858796298</v>
      </c>
      <c r="K387" s="6" t="s">
        <v>90</v>
      </c>
      <c r="L387" s="6" t="s">
        <v>26</v>
      </c>
      <c r="M387" s="5">
        <v>45986.567858796298</v>
      </c>
      <c r="N387" s="5" t="s">
        <v>134</v>
      </c>
      <c r="O387" s="45" t="str">
        <f>_xlfn.XLOOKUP(TAB.IDEIAS.TOTAL[[#This Row],[Enviado por]],'BASE DMOS'!A:A,'BASE DMOS'!C:C,"Não encontrado")</f>
        <v>OPERAÇÃO</v>
      </c>
    </row>
    <row r="388" spans="1:15" ht="29" x14ac:dyDescent="0.35">
      <c r="A388" s="6" t="s">
        <v>1332</v>
      </c>
      <c r="B388" s="6" t="s">
        <v>1333</v>
      </c>
      <c r="C388" s="6" t="s">
        <v>184</v>
      </c>
      <c r="D388" s="6" t="s">
        <v>1334</v>
      </c>
      <c r="E388" s="6" t="s">
        <v>571</v>
      </c>
      <c r="F388" s="6" t="s">
        <v>17</v>
      </c>
      <c r="G388" s="6" t="s">
        <v>124</v>
      </c>
      <c r="H388" s="5">
        <v>45987.053090277775</v>
      </c>
      <c r="I388" s="6" t="s">
        <v>174</v>
      </c>
      <c r="J388" s="5">
        <v>46282.595254629632</v>
      </c>
      <c r="K388" s="6" t="s">
        <v>688</v>
      </c>
      <c r="L388" s="6" t="s">
        <v>66</v>
      </c>
      <c r="M388" s="5"/>
      <c r="N388" s="14" t="s">
        <v>392</v>
      </c>
      <c r="O388" s="45" t="str">
        <f>_xlfn.XLOOKUP(TAB.IDEIAS.TOTAL[[#This Row],[Enviado por]],'BASE DMOS'!A:A,'BASE DMOS'!C:C,"Não encontrado")</f>
        <v>OPERAÇÃO</v>
      </c>
    </row>
    <row r="389" spans="1:15" ht="43.5" x14ac:dyDescent="0.35">
      <c r="A389" s="6" t="s">
        <v>1335</v>
      </c>
      <c r="B389" s="6" t="s">
        <v>1336</v>
      </c>
      <c r="C389" s="6" t="s">
        <v>184</v>
      </c>
      <c r="D389" s="6" t="s">
        <v>1337</v>
      </c>
      <c r="E389" s="6" t="s">
        <v>53</v>
      </c>
      <c r="F389" s="6" t="s">
        <v>112</v>
      </c>
      <c r="G389" s="6" t="s">
        <v>61</v>
      </c>
      <c r="H389" s="5">
        <v>45988.325092592589</v>
      </c>
      <c r="I389" s="6" t="s">
        <v>36</v>
      </c>
      <c r="J389" s="5">
        <v>45992.402175925927</v>
      </c>
      <c r="L389" s="6" t="s">
        <v>66</v>
      </c>
      <c r="M389" s="5"/>
      <c r="N389" s="14" t="s">
        <v>186</v>
      </c>
      <c r="O389" s="45" t="str">
        <f>_xlfn.XLOOKUP(TAB.IDEIAS.TOTAL[[#This Row],[Enviado por]],'BASE DMOS'!A:A,'BASE DMOS'!C:C,"Não encontrado")</f>
        <v>OPERAÇÃO</v>
      </c>
    </row>
    <row r="390" spans="1:15" ht="29" x14ac:dyDescent="0.35">
      <c r="A390" s="6" t="s">
        <v>1338</v>
      </c>
      <c r="B390" s="6" t="s">
        <v>1339</v>
      </c>
      <c r="C390" s="6" t="s">
        <v>148</v>
      </c>
      <c r="D390" s="6" t="s">
        <v>1340</v>
      </c>
      <c r="E390" s="6" t="s">
        <v>53</v>
      </c>
      <c r="F390" s="6" t="s">
        <v>17</v>
      </c>
      <c r="G390" s="6" t="s">
        <v>61</v>
      </c>
      <c r="H390" s="5">
        <v>45988.4218287037</v>
      </c>
      <c r="I390" s="6" t="s">
        <v>36</v>
      </c>
      <c r="J390" s="5">
        <v>46237.433969907404</v>
      </c>
      <c r="K390" s="6" t="s">
        <v>69</v>
      </c>
      <c r="L390" s="6" t="s">
        <v>66</v>
      </c>
      <c r="M390" s="5"/>
      <c r="N390" s="5" t="s">
        <v>148</v>
      </c>
      <c r="O390" s="45" t="str">
        <f>_xlfn.XLOOKUP(TAB.IDEIAS.TOTAL[[#This Row],[Enviado por]],'BASE DMOS'!A:A,'BASE DMOS'!C:C,"Não encontrado")</f>
        <v>OPERAÇÃO</v>
      </c>
    </row>
    <row r="391" spans="1:15" ht="43.5" x14ac:dyDescent="0.35">
      <c r="A391" s="6" t="s">
        <v>1341</v>
      </c>
      <c r="B391" s="6" t="s">
        <v>1342</v>
      </c>
      <c r="C391" s="6" t="s">
        <v>148</v>
      </c>
      <c r="D391" s="6" t="s">
        <v>1343</v>
      </c>
      <c r="E391" s="6" t="s">
        <v>53</v>
      </c>
      <c r="F391" s="6" t="s">
        <v>17</v>
      </c>
      <c r="G391" s="6" t="s">
        <v>30</v>
      </c>
      <c r="H391" s="5">
        <v>45988.428506944445</v>
      </c>
      <c r="I391" s="6" t="s">
        <v>36</v>
      </c>
      <c r="J391" s="5">
        <v>46094.698020833333</v>
      </c>
      <c r="K391" s="6" t="s">
        <v>69</v>
      </c>
      <c r="L391" s="6" t="s">
        <v>66</v>
      </c>
      <c r="M391" s="5"/>
      <c r="N391" s="5" t="s">
        <v>148</v>
      </c>
      <c r="O391" s="45" t="str">
        <f>_xlfn.XLOOKUP(TAB.IDEIAS.TOTAL[[#This Row],[Enviado por]],'BASE DMOS'!A:A,'BASE DMOS'!C:C,"Não encontrado")</f>
        <v>OPERAÇÃO</v>
      </c>
    </row>
    <row r="392" spans="1:15" ht="101.5" x14ac:dyDescent="0.35">
      <c r="A392" s="6" t="s">
        <v>1344</v>
      </c>
      <c r="B392" s="6" t="s">
        <v>1345</v>
      </c>
      <c r="C392" s="6" t="s">
        <v>184</v>
      </c>
      <c r="D392" s="6" t="s">
        <v>1346</v>
      </c>
      <c r="E392" s="6" t="s">
        <v>355</v>
      </c>
      <c r="F392" s="6" t="s">
        <v>17</v>
      </c>
      <c r="G392" s="6" t="s">
        <v>24</v>
      </c>
      <c r="H392" s="5">
        <v>45988.459780092591</v>
      </c>
      <c r="I392" s="6" t="s">
        <v>86</v>
      </c>
      <c r="J392" s="5">
        <v>46183.581666666665</v>
      </c>
      <c r="K392" s="6" t="s">
        <v>445</v>
      </c>
      <c r="L392" s="6" t="s">
        <v>87</v>
      </c>
      <c r="M392" s="5"/>
      <c r="N392" s="43" t="s">
        <v>186</v>
      </c>
      <c r="O392" s="45" t="str">
        <f>_xlfn.XLOOKUP(TAB.IDEIAS.TOTAL[[#This Row],[Enviado por]],'BASE DMOS'!A:A,'BASE DMOS'!C:C,"Não encontrado")</f>
        <v>ADM/TÉCNICO/ASSISTENTE/ESTAG.</v>
      </c>
    </row>
    <row r="393" spans="1:15" ht="29" x14ac:dyDescent="0.35">
      <c r="A393" s="6" t="s">
        <v>1347</v>
      </c>
      <c r="B393" s="6" t="s">
        <v>1348</v>
      </c>
      <c r="C393" s="6" t="s">
        <v>861</v>
      </c>
      <c r="D393" s="6" t="s">
        <v>1349</v>
      </c>
      <c r="E393" s="6" t="s">
        <v>23</v>
      </c>
      <c r="F393" s="6" t="s">
        <v>17</v>
      </c>
      <c r="G393" s="6" t="s">
        <v>30</v>
      </c>
      <c r="H393" s="5">
        <v>45989.099594907406</v>
      </c>
      <c r="I393" s="6" t="s">
        <v>25</v>
      </c>
      <c r="J393" s="5">
        <v>46203.589594907404</v>
      </c>
      <c r="L393" s="6" t="s">
        <v>66</v>
      </c>
      <c r="M393" s="5"/>
      <c r="N393" s="5" t="s">
        <v>861</v>
      </c>
      <c r="O393" s="45" t="str">
        <f>_xlfn.XLOOKUP(TAB.IDEIAS.TOTAL[[#This Row],[Enviado por]],'BASE DMOS'!A:A,'BASE DMOS'!C:C,"Não encontrado")</f>
        <v>OPERAÇÃO</v>
      </c>
    </row>
    <row r="394" spans="1:15" ht="29" x14ac:dyDescent="0.35">
      <c r="A394" s="6" t="s">
        <v>1350</v>
      </c>
      <c r="B394" s="6" t="s">
        <v>1351</v>
      </c>
      <c r="C394" s="6" t="s">
        <v>148</v>
      </c>
      <c r="D394" s="6" t="s">
        <v>1352</v>
      </c>
      <c r="E394" s="6" t="s">
        <v>53</v>
      </c>
      <c r="F394" s="6" t="s">
        <v>17</v>
      </c>
      <c r="G394" s="6" t="s">
        <v>30</v>
      </c>
      <c r="H394" s="5">
        <v>45992.407951388886</v>
      </c>
      <c r="I394" s="6" t="s">
        <v>36</v>
      </c>
      <c r="J394" s="5">
        <v>46282.44840277778</v>
      </c>
      <c r="L394" s="6" t="s">
        <v>66</v>
      </c>
      <c r="M394" s="5"/>
      <c r="N394" s="5" t="s">
        <v>148</v>
      </c>
      <c r="O394" s="45" t="str">
        <f>_xlfn.XLOOKUP(TAB.IDEIAS.TOTAL[[#This Row],[Enviado por]],'BASE DMOS'!A:A,'BASE DMOS'!C:C,"Não encontrado")</f>
        <v>OPERAÇÃO</v>
      </c>
    </row>
    <row r="395" spans="1:15" ht="116" x14ac:dyDescent="0.35">
      <c r="A395" s="6" t="s">
        <v>1353</v>
      </c>
      <c r="B395" s="6" t="s">
        <v>1354</v>
      </c>
      <c r="C395" s="6" t="s">
        <v>184</v>
      </c>
      <c r="D395" s="6" t="s">
        <v>1355</v>
      </c>
      <c r="E395" s="6" t="s">
        <v>247</v>
      </c>
      <c r="F395" s="6" t="s">
        <v>17</v>
      </c>
      <c r="G395" s="6" t="s">
        <v>30</v>
      </c>
      <c r="H395" s="5">
        <v>45992.609120370369</v>
      </c>
      <c r="I395" s="6" t="s">
        <v>899</v>
      </c>
      <c r="J395" s="5">
        <v>45992.629583333335</v>
      </c>
      <c r="K395" s="6" t="s">
        <v>78</v>
      </c>
      <c r="L395" s="6" t="s">
        <v>32</v>
      </c>
      <c r="M395" s="5"/>
      <c r="N395" s="14" t="s">
        <v>374</v>
      </c>
      <c r="O395" s="45" t="str">
        <f>_xlfn.XLOOKUP(TAB.IDEIAS.TOTAL[[#This Row],[Enviado por]],'BASE DMOS'!A:A,'BASE DMOS'!C:C,"Não encontrado")</f>
        <v>ADM/TÉCNICO/ASSISTENTE/ESTAG.</v>
      </c>
    </row>
    <row r="396" spans="1:15" ht="58" x14ac:dyDescent="0.35">
      <c r="A396" s="6" t="s">
        <v>1356</v>
      </c>
      <c r="B396" s="6" t="s">
        <v>1357</v>
      </c>
      <c r="C396" s="6" t="s">
        <v>184</v>
      </c>
      <c r="D396" s="6" t="s">
        <v>1358</v>
      </c>
      <c r="E396" s="6" t="s">
        <v>247</v>
      </c>
      <c r="F396" s="6" t="s">
        <v>17</v>
      </c>
      <c r="G396" s="6" t="s">
        <v>18</v>
      </c>
      <c r="H396" s="5">
        <v>45992.679479166669</v>
      </c>
      <c r="I396" s="6" t="s">
        <v>19</v>
      </c>
      <c r="J396" s="5">
        <v>46269.647789351853</v>
      </c>
      <c r="L396" s="6" t="s">
        <v>66</v>
      </c>
      <c r="M396" s="5"/>
      <c r="N396" s="14" t="s">
        <v>186</v>
      </c>
      <c r="O396" s="45" t="str">
        <f>_xlfn.XLOOKUP(TAB.IDEIAS.TOTAL[[#This Row],[Enviado por]],'BASE DMOS'!A:A,'BASE DMOS'!C:C,"Não encontrado")</f>
        <v>ADM/TÉCNICO/ASSISTENTE/ESTAG.</v>
      </c>
    </row>
    <row r="397" spans="1:15" ht="43.5" x14ac:dyDescent="0.35">
      <c r="A397" s="6" t="s">
        <v>1359</v>
      </c>
      <c r="B397" s="6" t="s">
        <v>1360</v>
      </c>
      <c r="C397" s="6" t="s">
        <v>134</v>
      </c>
      <c r="D397" s="6" t="s">
        <v>1361</v>
      </c>
      <c r="E397" s="6" t="s">
        <v>109</v>
      </c>
      <c r="F397" s="6" t="s">
        <v>17</v>
      </c>
      <c r="G397" s="6" t="s">
        <v>30</v>
      </c>
      <c r="H397" s="5">
        <v>45996.448194444441</v>
      </c>
      <c r="I397" s="6" t="s">
        <v>19</v>
      </c>
      <c r="J397" s="5">
        <v>46009.420694444445</v>
      </c>
      <c r="K397" s="6" t="s">
        <v>105</v>
      </c>
      <c r="L397" s="6" t="s">
        <v>20</v>
      </c>
      <c r="M397" s="5">
        <v>46009.420694444445</v>
      </c>
      <c r="N397" s="5" t="s">
        <v>134</v>
      </c>
      <c r="O397" s="45" t="str">
        <f>_xlfn.XLOOKUP(TAB.IDEIAS.TOTAL[[#This Row],[Enviado por]],'BASE DMOS'!A:A,'BASE DMOS'!C:C,"Não encontrado")</f>
        <v>ADM/TÉCNICO/ASSISTENTE/ESTAG.</v>
      </c>
    </row>
    <row r="398" spans="1:15" ht="29" x14ac:dyDescent="0.35">
      <c r="A398" s="6" t="s">
        <v>1362</v>
      </c>
      <c r="B398" s="6" t="s">
        <v>1363</v>
      </c>
      <c r="C398" s="6" t="s">
        <v>134</v>
      </c>
      <c r="D398" s="6" t="s">
        <v>1364</v>
      </c>
      <c r="E398" s="6" t="s">
        <v>23</v>
      </c>
      <c r="F398" s="6" t="s">
        <v>17</v>
      </c>
      <c r="G398" s="6" t="s">
        <v>18</v>
      </c>
      <c r="H398" s="5">
        <v>45997.016180555554</v>
      </c>
      <c r="I398" s="6" t="s">
        <v>25</v>
      </c>
      <c r="J398" s="5">
        <v>46009.420416666668</v>
      </c>
      <c r="K398" s="6" t="s">
        <v>105</v>
      </c>
      <c r="L398" s="6" t="s">
        <v>26</v>
      </c>
      <c r="M398" s="5">
        <v>46009.420416666668</v>
      </c>
      <c r="N398" s="5" t="s">
        <v>134</v>
      </c>
      <c r="O398" s="45" t="str">
        <f>_xlfn.XLOOKUP(TAB.IDEIAS.TOTAL[[#This Row],[Enviado por]],'BASE DMOS'!A:A,'BASE DMOS'!C:C,"Não encontrado")</f>
        <v>OPERAÇÃO</v>
      </c>
    </row>
    <row r="399" spans="1:15" ht="29" x14ac:dyDescent="0.35">
      <c r="A399" s="6" t="s">
        <v>1365</v>
      </c>
      <c r="B399" s="6" t="s">
        <v>1366</v>
      </c>
      <c r="C399" s="6" t="s">
        <v>184</v>
      </c>
      <c r="D399" s="6" t="s">
        <v>1367</v>
      </c>
      <c r="E399" s="6" t="s">
        <v>23</v>
      </c>
      <c r="F399" s="6" t="s">
        <v>17</v>
      </c>
      <c r="G399" s="6" t="s">
        <v>30</v>
      </c>
      <c r="H399" s="5">
        <v>45997.020543981482</v>
      </c>
      <c r="I399" s="6" t="s">
        <v>25</v>
      </c>
      <c r="J399" s="5">
        <v>46276.613541666666</v>
      </c>
      <c r="K399" s="6" t="s">
        <v>117</v>
      </c>
      <c r="L399" s="6" t="s">
        <v>66</v>
      </c>
      <c r="M399" s="5"/>
      <c r="N399" s="43" t="s">
        <v>186</v>
      </c>
      <c r="O399" s="45" t="str">
        <f>_xlfn.XLOOKUP(TAB.IDEIAS.TOTAL[[#This Row],[Enviado por]],'BASE DMOS'!A:A,'BASE DMOS'!C:C,"Não encontrado")</f>
        <v>OPERAÇÃO</v>
      </c>
    </row>
    <row r="400" spans="1:15" ht="29" x14ac:dyDescent="0.35">
      <c r="A400" s="6" t="s">
        <v>1368</v>
      </c>
      <c r="B400" s="6" t="s">
        <v>1369</v>
      </c>
      <c r="C400" s="6" t="s">
        <v>134</v>
      </c>
      <c r="D400" s="6" t="s">
        <v>1370</v>
      </c>
      <c r="E400" s="6" t="s">
        <v>23</v>
      </c>
      <c r="F400" s="6" t="s">
        <v>17</v>
      </c>
      <c r="G400" s="6" t="s">
        <v>30</v>
      </c>
      <c r="H400" s="5">
        <v>45997.023229166669</v>
      </c>
      <c r="I400" s="6" t="s">
        <v>25</v>
      </c>
      <c r="J400" s="5">
        <v>46027.365879629629</v>
      </c>
      <c r="K400" s="6" t="s">
        <v>105</v>
      </c>
      <c r="L400" s="6" t="s">
        <v>26</v>
      </c>
      <c r="M400" s="5">
        <v>46027.365879629629</v>
      </c>
      <c r="N400" s="5" t="s">
        <v>134</v>
      </c>
      <c r="O400" s="45" t="str">
        <f>_xlfn.XLOOKUP(TAB.IDEIAS.TOTAL[[#This Row],[Enviado por]],'BASE DMOS'!A:A,'BASE DMOS'!C:C,"Não encontrado")</f>
        <v>OPERAÇÃO</v>
      </c>
    </row>
    <row r="401" spans="1:15" ht="29" x14ac:dyDescent="0.35">
      <c r="A401" s="6" t="s">
        <v>1371</v>
      </c>
      <c r="B401" s="6" t="s">
        <v>1372</v>
      </c>
      <c r="C401" s="6" t="s">
        <v>134</v>
      </c>
      <c r="D401" s="6" t="s">
        <v>1373</v>
      </c>
      <c r="E401" s="6" t="s">
        <v>23</v>
      </c>
      <c r="F401" s="6" t="s">
        <v>17</v>
      </c>
      <c r="G401" s="6" t="s">
        <v>30</v>
      </c>
      <c r="H401" s="5">
        <v>45997.027233796296</v>
      </c>
      <c r="I401" s="6" t="s">
        <v>25</v>
      </c>
      <c r="J401" s="5">
        <v>46009.420277777775</v>
      </c>
      <c r="K401" s="6" t="s">
        <v>105</v>
      </c>
      <c r="L401" s="6" t="s">
        <v>26</v>
      </c>
      <c r="M401" s="5">
        <v>46009.420277777775</v>
      </c>
      <c r="N401" s="5" t="s">
        <v>134</v>
      </c>
      <c r="O401" s="45" t="str">
        <f>_xlfn.XLOOKUP(TAB.IDEIAS.TOTAL[[#This Row],[Enviado por]],'BASE DMOS'!A:A,'BASE DMOS'!C:C,"Não encontrado")</f>
        <v>OPERAÇÃO</v>
      </c>
    </row>
    <row r="402" spans="1:15" ht="29" x14ac:dyDescent="0.35">
      <c r="A402" s="6" t="s">
        <v>1374</v>
      </c>
      <c r="B402" s="6" t="s">
        <v>1372</v>
      </c>
      <c r="C402" s="6" t="s">
        <v>134</v>
      </c>
      <c r="D402" s="6" t="s">
        <v>1375</v>
      </c>
      <c r="E402" s="6" t="s">
        <v>23</v>
      </c>
      <c r="F402" s="6" t="s">
        <v>17</v>
      </c>
      <c r="G402" s="6" t="s">
        <v>30</v>
      </c>
      <c r="H402" s="5">
        <v>45997.028865740744</v>
      </c>
      <c r="I402" s="6" t="s">
        <v>25</v>
      </c>
      <c r="J402" s="5">
        <v>46009.420347222222</v>
      </c>
      <c r="K402" s="6" t="s">
        <v>105</v>
      </c>
      <c r="L402" s="6" t="s">
        <v>26</v>
      </c>
      <c r="M402" s="5">
        <v>46009.420347222222</v>
      </c>
      <c r="N402" s="5" t="s">
        <v>134</v>
      </c>
      <c r="O402" s="45" t="str">
        <f>_xlfn.XLOOKUP(TAB.IDEIAS.TOTAL[[#This Row],[Enviado por]],'BASE DMOS'!A:A,'BASE DMOS'!C:C,"Não encontrado")</f>
        <v>OPERAÇÃO</v>
      </c>
    </row>
    <row r="403" spans="1:15" ht="43.5" x14ac:dyDescent="0.35">
      <c r="A403" s="6" t="s">
        <v>1376</v>
      </c>
      <c r="B403" s="6" t="s">
        <v>1372</v>
      </c>
      <c r="C403" s="6" t="s">
        <v>134</v>
      </c>
      <c r="D403" s="6" t="s">
        <v>1377</v>
      </c>
      <c r="E403" s="6" t="s">
        <v>105</v>
      </c>
      <c r="F403" s="6" t="s">
        <v>17</v>
      </c>
      <c r="G403" s="6" t="s">
        <v>18</v>
      </c>
      <c r="H403" s="5">
        <v>45997.037210648145</v>
      </c>
      <c r="I403" s="6" t="s">
        <v>25</v>
      </c>
      <c r="J403" s="5">
        <v>46009.418379629627</v>
      </c>
      <c r="K403" s="6" t="s">
        <v>105</v>
      </c>
      <c r="L403" s="6" t="s">
        <v>26</v>
      </c>
      <c r="M403" s="5">
        <v>46009.418379629627</v>
      </c>
      <c r="N403" s="5" t="s">
        <v>134</v>
      </c>
      <c r="O403" s="45" t="str">
        <f>_xlfn.XLOOKUP(TAB.IDEIAS.TOTAL[[#This Row],[Enviado por]],'BASE DMOS'!A:A,'BASE DMOS'!C:C,"Não encontrado")</f>
        <v>ADM/TÉCNICO/ASSISTENTE/ESTAG.</v>
      </c>
    </row>
    <row r="404" spans="1:15" ht="43.5" x14ac:dyDescent="0.35">
      <c r="A404" s="6" t="s">
        <v>1378</v>
      </c>
      <c r="B404" s="6" t="s">
        <v>1372</v>
      </c>
      <c r="C404" s="6" t="s">
        <v>134</v>
      </c>
      <c r="D404" s="6" t="s">
        <v>1379</v>
      </c>
      <c r="E404" s="6" t="s">
        <v>105</v>
      </c>
      <c r="F404" s="6" t="s">
        <v>17</v>
      </c>
      <c r="G404" s="6" t="s">
        <v>30</v>
      </c>
      <c r="H404" s="5">
        <v>45997.037638888891</v>
      </c>
      <c r="I404" s="6" t="s">
        <v>25</v>
      </c>
      <c r="J404" s="5">
        <v>46009.418865740743</v>
      </c>
      <c r="K404" s="6" t="s">
        <v>105</v>
      </c>
      <c r="L404" s="6" t="s">
        <v>26</v>
      </c>
      <c r="M404" s="5">
        <v>46009.418865740743</v>
      </c>
      <c r="N404" s="5" t="s">
        <v>134</v>
      </c>
      <c r="O404" s="45" t="str">
        <f>_xlfn.XLOOKUP(TAB.IDEIAS.TOTAL[[#This Row],[Enviado por]],'BASE DMOS'!A:A,'BASE DMOS'!C:C,"Não encontrado")</f>
        <v>ADM/TÉCNICO/ASSISTENTE/ESTAG.</v>
      </c>
    </row>
    <row r="405" spans="1:15" ht="43.5" x14ac:dyDescent="0.35">
      <c r="A405" s="6" t="s">
        <v>1380</v>
      </c>
      <c r="B405" s="6" t="s">
        <v>1381</v>
      </c>
      <c r="C405" s="6" t="s">
        <v>134</v>
      </c>
      <c r="D405" s="6" t="s">
        <v>1382</v>
      </c>
      <c r="E405" s="6" t="s">
        <v>105</v>
      </c>
      <c r="F405" s="6" t="s">
        <v>17</v>
      </c>
      <c r="G405" s="6" t="s">
        <v>30</v>
      </c>
      <c r="H405" s="5">
        <v>45997.038032407407</v>
      </c>
      <c r="I405" s="6" t="s">
        <v>25</v>
      </c>
      <c r="J405" s="5">
        <v>46009.419293981482</v>
      </c>
      <c r="K405" s="6" t="s">
        <v>105</v>
      </c>
      <c r="L405" s="6" t="s">
        <v>26</v>
      </c>
      <c r="M405" s="5">
        <v>46009.419293981482</v>
      </c>
      <c r="N405" s="5" t="s">
        <v>134</v>
      </c>
      <c r="O405" s="45" t="str">
        <f>_xlfn.XLOOKUP(TAB.IDEIAS.TOTAL[[#This Row],[Enviado por]],'BASE DMOS'!A:A,'BASE DMOS'!C:C,"Não encontrado")</f>
        <v>ADM/TÉCNICO/ASSISTENTE/ESTAG.</v>
      </c>
    </row>
    <row r="406" spans="1:15" ht="43.5" x14ac:dyDescent="0.35">
      <c r="A406" s="6" t="s">
        <v>1383</v>
      </c>
      <c r="B406" s="6" t="s">
        <v>1381</v>
      </c>
      <c r="C406" s="6" t="s">
        <v>134</v>
      </c>
      <c r="D406" s="6" t="s">
        <v>1384</v>
      </c>
      <c r="E406" s="6" t="s">
        <v>105</v>
      </c>
      <c r="F406" s="6" t="s">
        <v>17</v>
      </c>
      <c r="G406" s="6" t="s">
        <v>30</v>
      </c>
      <c r="H406" s="5">
        <v>45997.038518518515</v>
      </c>
      <c r="I406" s="6" t="s">
        <v>25</v>
      </c>
      <c r="J406" s="5">
        <v>46009.418587962966</v>
      </c>
      <c r="K406" s="6" t="s">
        <v>105</v>
      </c>
      <c r="L406" s="6" t="s">
        <v>26</v>
      </c>
      <c r="M406" s="5">
        <v>46009.418587962966</v>
      </c>
      <c r="N406" s="5" t="s">
        <v>134</v>
      </c>
      <c r="O406" s="45" t="str">
        <f>_xlfn.XLOOKUP(TAB.IDEIAS.TOTAL[[#This Row],[Enviado por]],'BASE DMOS'!A:A,'BASE DMOS'!C:C,"Não encontrado")</f>
        <v>ADM/TÉCNICO/ASSISTENTE/ESTAG.</v>
      </c>
    </row>
    <row r="407" spans="1:15" ht="43.5" x14ac:dyDescent="0.35">
      <c r="A407" s="6" t="s">
        <v>1385</v>
      </c>
      <c r="B407" s="6" t="s">
        <v>1381</v>
      </c>
      <c r="C407" s="6" t="s">
        <v>15</v>
      </c>
      <c r="D407" s="6" t="s">
        <v>1386</v>
      </c>
      <c r="E407" s="6" t="s">
        <v>105</v>
      </c>
      <c r="F407" s="6" t="s">
        <v>17</v>
      </c>
      <c r="G407" s="6" t="s">
        <v>30</v>
      </c>
      <c r="H407" s="5">
        <v>45997.038981481484</v>
      </c>
      <c r="I407" s="6" t="s">
        <v>19</v>
      </c>
      <c r="J407" s="5">
        <v>46002.995474537034</v>
      </c>
      <c r="L407" s="6" t="s">
        <v>20</v>
      </c>
      <c r="M407" s="5">
        <v>46002.995474537034</v>
      </c>
      <c r="N407" s="5" t="s">
        <v>15</v>
      </c>
      <c r="O407" s="45" t="str">
        <f>_xlfn.XLOOKUP(TAB.IDEIAS.TOTAL[[#This Row],[Enviado por]],'BASE DMOS'!A:A,'BASE DMOS'!C:C,"Não encontrado")</f>
        <v>ADM/TÉCNICO/ASSISTENTE/ESTAG.</v>
      </c>
    </row>
    <row r="408" spans="1:15" ht="29" x14ac:dyDescent="0.35">
      <c r="A408" s="6" t="s">
        <v>1387</v>
      </c>
      <c r="B408" s="6" t="s">
        <v>1388</v>
      </c>
      <c r="C408" s="6" t="s">
        <v>861</v>
      </c>
      <c r="D408" s="6" t="s">
        <v>1389</v>
      </c>
      <c r="E408" s="6" t="s">
        <v>127</v>
      </c>
      <c r="F408" s="6" t="s">
        <v>17</v>
      </c>
      <c r="G408" s="6" t="s">
        <v>61</v>
      </c>
      <c r="H408" s="5">
        <v>45999.892708333333</v>
      </c>
      <c r="I408" s="6" t="s">
        <v>98</v>
      </c>
      <c r="J408" s="5">
        <v>46206.462847222225</v>
      </c>
      <c r="L408" s="6" t="s">
        <v>66</v>
      </c>
      <c r="M408" s="5"/>
      <c r="N408" s="5" t="s">
        <v>861</v>
      </c>
      <c r="O408" s="45" t="str">
        <f>_xlfn.XLOOKUP(TAB.IDEIAS.TOTAL[[#This Row],[Enviado por]],'BASE DMOS'!A:A,'BASE DMOS'!C:C,"Não encontrado")</f>
        <v>ADM/TÉCNICO/ASSISTENTE/ESTAG.</v>
      </c>
    </row>
    <row r="409" spans="1:15" ht="29" x14ac:dyDescent="0.35">
      <c r="A409" s="6" t="s">
        <v>1390</v>
      </c>
      <c r="B409" s="6" t="s">
        <v>1391</v>
      </c>
      <c r="C409" s="6" t="s">
        <v>15</v>
      </c>
      <c r="D409" s="6" t="s">
        <v>1392</v>
      </c>
      <c r="E409" s="6" t="s">
        <v>299</v>
      </c>
      <c r="F409" s="6" t="s">
        <v>17</v>
      </c>
      <c r="G409" s="6" t="s">
        <v>61</v>
      </c>
      <c r="H409" s="5">
        <v>46000.24019675926</v>
      </c>
      <c r="I409" s="6" t="s">
        <v>332</v>
      </c>
      <c r="J409" s="5">
        <v>46128.675740740742</v>
      </c>
      <c r="L409" s="6" t="s">
        <v>66</v>
      </c>
      <c r="M409" s="5">
        <v>46128.675740740742</v>
      </c>
      <c r="N409" s="5" t="s">
        <v>15</v>
      </c>
      <c r="O409" s="45" t="str">
        <f>_xlfn.XLOOKUP(TAB.IDEIAS.TOTAL[[#This Row],[Enviado por]],'BASE DMOS'!A:A,'BASE DMOS'!C:C,"Não encontrado")</f>
        <v>OPERAÇÃO</v>
      </c>
    </row>
    <row r="410" spans="1:15" ht="29" x14ac:dyDescent="0.35">
      <c r="A410" s="6" t="s">
        <v>1393</v>
      </c>
      <c r="B410" s="6" t="s">
        <v>1394</v>
      </c>
      <c r="C410" s="6" t="s">
        <v>184</v>
      </c>
      <c r="D410" s="6" t="s">
        <v>1395</v>
      </c>
      <c r="E410" s="6" t="s">
        <v>108</v>
      </c>
      <c r="F410" s="6" t="s">
        <v>17</v>
      </c>
      <c r="G410" s="6" t="s">
        <v>61</v>
      </c>
      <c r="H410" s="5">
        <v>46002.403587962966</v>
      </c>
      <c r="I410" s="6" t="s">
        <v>98</v>
      </c>
      <c r="J410" s="5">
        <v>46206.463182870371</v>
      </c>
      <c r="L410" s="6" t="s">
        <v>66</v>
      </c>
      <c r="M410" s="5"/>
      <c r="N410" s="14" t="s">
        <v>295</v>
      </c>
      <c r="O410" s="45" t="str">
        <f>_xlfn.XLOOKUP(TAB.IDEIAS.TOTAL[[#This Row],[Enviado por]],'BASE DMOS'!A:A,'BASE DMOS'!C:C,"Não encontrado")</f>
        <v>ADM/TÉCNICO/ASSISTENTE/ESTAG.</v>
      </c>
    </row>
    <row r="411" spans="1:15" ht="43.5" x14ac:dyDescent="0.35">
      <c r="A411" s="6" t="s">
        <v>62</v>
      </c>
      <c r="B411" s="6" t="s">
        <v>63</v>
      </c>
      <c r="C411" s="6" t="s">
        <v>148</v>
      </c>
      <c r="D411" s="6" t="s">
        <v>1396</v>
      </c>
      <c r="E411" s="6" t="s">
        <v>64</v>
      </c>
      <c r="F411" s="6" t="s">
        <v>17</v>
      </c>
      <c r="G411" s="6" t="s">
        <v>54</v>
      </c>
      <c r="H411" s="5">
        <v>46002.96434027778</v>
      </c>
      <c r="I411" s="6" t="s">
        <v>50</v>
      </c>
      <c r="J411" s="5">
        <v>46224.686990740738</v>
      </c>
      <c r="K411" s="6" t="s">
        <v>65</v>
      </c>
      <c r="L411" s="6" t="s">
        <v>66</v>
      </c>
      <c r="M411" s="5"/>
      <c r="N411" s="5" t="s">
        <v>148</v>
      </c>
      <c r="O411" s="45" t="str">
        <f>_xlfn.XLOOKUP(TAB.IDEIAS.TOTAL[[#This Row],[Enviado por]],'BASE DMOS'!A:A,'BASE DMOS'!C:C,"Não encontrado")</f>
        <v>OPERAÇÃO</v>
      </c>
    </row>
    <row r="412" spans="1:15" ht="43.5" x14ac:dyDescent="0.35">
      <c r="A412" s="6" t="s">
        <v>1397</v>
      </c>
      <c r="B412" s="6" t="s">
        <v>1381</v>
      </c>
      <c r="C412" s="6" t="s">
        <v>134</v>
      </c>
      <c r="D412" s="6" t="s">
        <v>1386</v>
      </c>
      <c r="E412" s="6" t="s">
        <v>105</v>
      </c>
      <c r="F412" s="6" t="s">
        <v>17</v>
      </c>
      <c r="G412" s="6" t="s">
        <v>30</v>
      </c>
      <c r="H412" s="5">
        <v>46002.995787037034</v>
      </c>
      <c r="I412" s="6" t="s">
        <v>25</v>
      </c>
      <c r="J412" s="5">
        <v>46009.418715277781</v>
      </c>
      <c r="K412" s="6" t="s">
        <v>105</v>
      </c>
      <c r="L412" s="6" t="s">
        <v>26</v>
      </c>
      <c r="M412" s="5">
        <v>46009.418715277781</v>
      </c>
      <c r="N412" s="5" t="s">
        <v>134</v>
      </c>
      <c r="O412" s="45" t="str">
        <f>_xlfn.XLOOKUP(TAB.IDEIAS.TOTAL[[#This Row],[Enviado por]],'BASE DMOS'!A:A,'BASE DMOS'!C:C,"Não encontrado")</f>
        <v>ADM/TÉCNICO/ASSISTENTE/ESTAG.</v>
      </c>
    </row>
    <row r="413" spans="1:15" ht="29" x14ac:dyDescent="0.35">
      <c r="A413" s="6" t="s">
        <v>1398</v>
      </c>
      <c r="B413" s="6" t="s">
        <v>1399</v>
      </c>
      <c r="C413" s="6" t="s">
        <v>15</v>
      </c>
      <c r="D413" s="6" t="s">
        <v>1400</v>
      </c>
      <c r="E413" s="6" t="s">
        <v>150</v>
      </c>
      <c r="F413" s="6" t="s">
        <v>17</v>
      </c>
      <c r="G413" s="6" t="s">
        <v>54</v>
      </c>
      <c r="H413" s="5">
        <v>46003.248495370368</v>
      </c>
      <c r="I413" s="6" t="s">
        <v>399</v>
      </c>
      <c r="J413" s="5">
        <v>46128.674363425926</v>
      </c>
      <c r="L413" s="6" t="s">
        <v>66</v>
      </c>
      <c r="M413" s="5">
        <v>46128.674363425926</v>
      </c>
      <c r="N413" s="5" t="s">
        <v>15</v>
      </c>
      <c r="O413" s="45" t="str">
        <f>_xlfn.XLOOKUP(TAB.IDEIAS.TOTAL[[#This Row],[Enviado por]],'BASE DMOS'!A:A,'BASE DMOS'!C:C,"Não encontrado")</f>
        <v>OPERAÇÃO</v>
      </c>
    </row>
    <row r="414" spans="1:15" ht="58" x14ac:dyDescent="0.35">
      <c r="A414" s="6" t="s">
        <v>1401</v>
      </c>
      <c r="B414" s="6" t="s">
        <v>1402</v>
      </c>
      <c r="C414" s="6" t="s">
        <v>148</v>
      </c>
      <c r="D414" s="6" t="s">
        <v>1403</v>
      </c>
      <c r="E414" s="6" t="s">
        <v>222</v>
      </c>
      <c r="F414" s="6" t="s">
        <v>17</v>
      </c>
      <c r="G414" s="6" t="s">
        <v>61</v>
      </c>
      <c r="H414" s="5">
        <v>46003.329513888886</v>
      </c>
      <c r="I414" s="6" t="s">
        <v>204</v>
      </c>
      <c r="J414" s="5">
        <v>46171.485509259262</v>
      </c>
      <c r="K414" s="6" t="s">
        <v>117</v>
      </c>
      <c r="L414" s="6" t="s">
        <v>163</v>
      </c>
      <c r="M414" s="5"/>
      <c r="N414" s="5" t="s">
        <v>148</v>
      </c>
      <c r="O414" s="45" t="str">
        <f>_xlfn.XLOOKUP(TAB.IDEIAS.TOTAL[[#This Row],[Enviado por]],'BASE DMOS'!A:A,'BASE DMOS'!C:C,"Não encontrado")</f>
        <v>OPERAÇÃO</v>
      </c>
    </row>
    <row r="415" spans="1:15" ht="101.5" x14ac:dyDescent="0.35">
      <c r="A415" s="6" t="s">
        <v>1404</v>
      </c>
      <c r="B415" s="6" t="s">
        <v>1405</v>
      </c>
      <c r="C415" s="6" t="s">
        <v>148</v>
      </c>
      <c r="D415" s="6" t="s">
        <v>1406</v>
      </c>
      <c r="E415" s="6" t="s">
        <v>222</v>
      </c>
      <c r="F415" s="6" t="s">
        <v>17</v>
      </c>
      <c r="G415" s="6" t="s">
        <v>61</v>
      </c>
      <c r="H415" s="5">
        <v>46003.341319444444</v>
      </c>
      <c r="I415" s="6" t="s">
        <v>204</v>
      </c>
      <c r="J415" s="5">
        <v>46244.58861111111</v>
      </c>
      <c r="K415" s="6" t="s">
        <v>294</v>
      </c>
      <c r="L415" s="6" t="s">
        <v>66</v>
      </c>
      <c r="M415" s="5"/>
      <c r="N415" s="5" t="s">
        <v>148</v>
      </c>
      <c r="O415" s="45" t="str">
        <f>_xlfn.XLOOKUP(TAB.IDEIAS.TOTAL[[#This Row],[Enviado por]],'BASE DMOS'!A:A,'BASE DMOS'!C:C,"Não encontrado")</f>
        <v>OPERAÇÃO</v>
      </c>
    </row>
    <row r="416" spans="1:15" ht="58" x14ac:dyDescent="0.35">
      <c r="A416" s="6" t="s">
        <v>1407</v>
      </c>
      <c r="B416" s="6" t="s">
        <v>1408</v>
      </c>
      <c r="C416" s="6" t="s">
        <v>134</v>
      </c>
      <c r="D416" s="6" t="s">
        <v>1409</v>
      </c>
      <c r="E416" s="6" t="s">
        <v>46</v>
      </c>
      <c r="F416" s="6" t="s">
        <v>17</v>
      </c>
      <c r="G416" s="6" t="s">
        <v>61</v>
      </c>
      <c r="H416" s="5">
        <v>46003.658483796295</v>
      </c>
      <c r="I416" s="6" t="s">
        <v>25</v>
      </c>
      <c r="J416" s="5">
        <v>46049.657986111109</v>
      </c>
      <c r="L416" s="6" t="s">
        <v>26</v>
      </c>
      <c r="M416" s="5">
        <v>46049.657986111109</v>
      </c>
      <c r="N416" s="5" t="s">
        <v>134</v>
      </c>
      <c r="O416" s="45" t="str">
        <f>_xlfn.XLOOKUP(TAB.IDEIAS.TOTAL[[#This Row],[Enviado por]],'BASE DMOS'!A:A,'BASE DMOS'!C:C,"Não encontrado")</f>
        <v>OPERAÇÃO</v>
      </c>
    </row>
    <row r="417" spans="1:15" ht="87" x14ac:dyDescent="0.35">
      <c r="A417" s="6" t="s">
        <v>1410</v>
      </c>
      <c r="B417" s="6" t="s">
        <v>1411</v>
      </c>
      <c r="C417" s="6" t="s">
        <v>15</v>
      </c>
      <c r="D417" s="6" t="s">
        <v>1412</v>
      </c>
      <c r="E417" s="6" t="s">
        <v>94</v>
      </c>
      <c r="F417" s="6" t="s">
        <v>17</v>
      </c>
      <c r="G417" s="6" t="s">
        <v>30</v>
      </c>
      <c r="H417" s="5">
        <v>46004.761192129627</v>
      </c>
      <c r="I417" s="6" t="s">
        <v>204</v>
      </c>
      <c r="J417" s="5">
        <v>46034.432754629626</v>
      </c>
      <c r="L417" s="6" t="s">
        <v>163</v>
      </c>
      <c r="M417" s="5">
        <v>46034.432754629626</v>
      </c>
      <c r="N417" s="5" t="s">
        <v>15</v>
      </c>
      <c r="O417" s="45" t="str">
        <f>_xlfn.XLOOKUP(TAB.IDEIAS.TOTAL[[#This Row],[Enviado por]],'BASE DMOS'!A:A,'BASE DMOS'!C:C,"Não encontrado")</f>
        <v>OPERAÇÃO</v>
      </c>
    </row>
    <row r="418" spans="1:15" ht="72.5" x14ac:dyDescent="0.35">
      <c r="A418" s="6" t="s">
        <v>1413</v>
      </c>
      <c r="B418" s="6" t="s">
        <v>1414</v>
      </c>
      <c r="C418" s="6" t="s">
        <v>148</v>
      </c>
      <c r="D418" s="6" t="s">
        <v>1415</v>
      </c>
      <c r="E418" s="6" t="s">
        <v>222</v>
      </c>
      <c r="F418" s="6" t="s">
        <v>17</v>
      </c>
      <c r="G418" s="6" t="s">
        <v>24</v>
      </c>
      <c r="H418" s="5">
        <v>46006.557754629626</v>
      </c>
      <c r="I418" s="6" t="s">
        <v>204</v>
      </c>
      <c r="J418" s="5">
        <v>46097.373668981483</v>
      </c>
      <c r="L418" s="6" t="s">
        <v>163</v>
      </c>
      <c r="M418" s="5"/>
      <c r="N418" s="5" t="s">
        <v>148</v>
      </c>
      <c r="O418" s="45" t="str">
        <f>_xlfn.XLOOKUP(TAB.IDEIAS.TOTAL[[#This Row],[Enviado por]],'BASE DMOS'!A:A,'BASE DMOS'!C:C,"Não encontrado")</f>
        <v>OPERAÇÃO</v>
      </c>
    </row>
    <row r="419" spans="1:15" ht="29" x14ac:dyDescent="0.35">
      <c r="A419" s="6" t="s">
        <v>1416</v>
      </c>
      <c r="B419" s="6" t="s">
        <v>1417</v>
      </c>
      <c r="C419" s="6" t="s">
        <v>148</v>
      </c>
      <c r="D419" s="6" t="s">
        <v>1418</v>
      </c>
      <c r="E419" s="6" t="s">
        <v>77</v>
      </c>
      <c r="F419" s="6" t="s">
        <v>17</v>
      </c>
      <c r="G419" s="6" t="s">
        <v>24</v>
      </c>
      <c r="H419" s="5">
        <v>46006.611284722225</v>
      </c>
      <c r="I419" s="6" t="s">
        <v>174</v>
      </c>
      <c r="J419" s="5">
        <v>46232.559594907405</v>
      </c>
      <c r="K419" s="6" t="s">
        <v>29</v>
      </c>
      <c r="L419" s="6" t="s">
        <v>66</v>
      </c>
      <c r="M419" s="5"/>
      <c r="N419" s="5" t="s">
        <v>148</v>
      </c>
      <c r="O419" s="45" t="str">
        <f>_xlfn.XLOOKUP(TAB.IDEIAS.TOTAL[[#This Row],[Enviado por]],'BASE DMOS'!A:A,'BASE DMOS'!C:C,"Não encontrado")</f>
        <v>OPERAÇÃO</v>
      </c>
    </row>
    <row r="420" spans="1:15" ht="43.5" x14ac:dyDescent="0.35">
      <c r="A420" s="6" t="s">
        <v>1419</v>
      </c>
      <c r="B420" s="6" t="s">
        <v>1420</v>
      </c>
      <c r="C420" s="6" t="s">
        <v>134</v>
      </c>
      <c r="D420" s="6" t="s">
        <v>1421</v>
      </c>
      <c r="E420" s="6" t="s">
        <v>145</v>
      </c>
      <c r="F420" s="6" t="s">
        <v>17</v>
      </c>
      <c r="G420" s="6" t="s">
        <v>61</v>
      </c>
      <c r="H420" s="5">
        <v>46007.43304398148</v>
      </c>
      <c r="I420" s="6" t="s">
        <v>25</v>
      </c>
      <c r="J420" s="5">
        <v>46042.467430555553</v>
      </c>
      <c r="K420" s="6" t="s">
        <v>637</v>
      </c>
      <c r="L420" s="6" t="s">
        <v>26</v>
      </c>
      <c r="M420" s="5">
        <v>46042.467430555553</v>
      </c>
      <c r="N420" s="5" t="s">
        <v>134</v>
      </c>
      <c r="O420" s="45" t="str">
        <f>_xlfn.XLOOKUP(TAB.IDEIAS.TOTAL[[#This Row],[Enviado por]],'BASE DMOS'!A:A,'BASE DMOS'!C:C,"Não encontrado")</f>
        <v>OPERAÇÃO</v>
      </c>
    </row>
    <row r="421" spans="1:15" ht="29" x14ac:dyDescent="0.35">
      <c r="A421" s="6" t="s">
        <v>103</v>
      </c>
      <c r="B421" s="6" t="s">
        <v>104</v>
      </c>
      <c r="C421" s="6" t="s">
        <v>148</v>
      </c>
      <c r="D421" s="6" t="s">
        <v>1422</v>
      </c>
      <c r="E421" s="6" t="s">
        <v>58</v>
      </c>
      <c r="F421" s="6" t="s">
        <v>17</v>
      </c>
      <c r="G421" s="6" t="s">
        <v>30</v>
      </c>
      <c r="H421" s="5">
        <v>46008.632407407407</v>
      </c>
      <c r="I421" s="6" t="s">
        <v>50</v>
      </c>
      <c r="J421" s="5">
        <v>46156.617511574077</v>
      </c>
      <c r="K421" s="6" t="s">
        <v>105</v>
      </c>
      <c r="L421" s="6" t="s">
        <v>66</v>
      </c>
      <c r="M421" s="5"/>
      <c r="N421" s="5" t="s">
        <v>148</v>
      </c>
      <c r="O421" s="45" t="str">
        <f>_xlfn.XLOOKUP(TAB.IDEIAS.TOTAL[[#This Row],[Enviado por]],'BASE DMOS'!A:A,'BASE DMOS'!C:C,"Não encontrado")</f>
        <v>ADM/TÉCNICO/ASSISTENTE/ESTAG.</v>
      </c>
    </row>
    <row r="422" spans="1:15" ht="43.5" x14ac:dyDescent="0.35">
      <c r="A422" s="6" t="s">
        <v>1423</v>
      </c>
      <c r="B422" s="6" t="s">
        <v>104</v>
      </c>
      <c r="C422" s="6" t="s">
        <v>148</v>
      </c>
      <c r="D422" s="6" t="s">
        <v>1424</v>
      </c>
      <c r="E422" s="6" t="s">
        <v>58</v>
      </c>
      <c r="F422" s="6" t="s">
        <v>17</v>
      </c>
      <c r="G422" s="6" t="s">
        <v>30</v>
      </c>
      <c r="H422" s="5">
        <v>46008.636770833335</v>
      </c>
      <c r="I422" s="6" t="s">
        <v>50</v>
      </c>
      <c r="J422" s="5">
        <v>46238.247002314813</v>
      </c>
      <c r="K422" s="6" t="s">
        <v>1425</v>
      </c>
      <c r="L422" s="6" t="s">
        <v>66</v>
      </c>
      <c r="M422" s="5"/>
      <c r="N422" s="5" t="s">
        <v>148</v>
      </c>
      <c r="O422" s="45" t="str">
        <f>_xlfn.XLOOKUP(TAB.IDEIAS.TOTAL[[#This Row],[Enviado por]],'BASE DMOS'!A:A,'BASE DMOS'!C:C,"Não encontrado")</f>
        <v>ADM/TÉCNICO/ASSISTENTE/ESTAG.</v>
      </c>
    </row>
    <row r="423" spans="1:15" ht="43.5" x14ac:dyDescent="0.35">
      <c r="A423" s="6" t="s">
        <v>1426</v>
      </c>
      <c r="B423" s="6" t="s">
        <v>1427</v>
      </c>
      <c r="C423" s="6" t="s">
        <v>148</v>
      </c>
      <c r="D423" s="6" t="s">
        <v>1428</v>
      </c>
      <c r="E423" s="6" t="s">
        <v>58</v>
      </c>
      <c r="F423" s="6" t="s">
        <v>17</v>
      </c>
      <c r="G423" s="6" t="s">
        <v>30</v>
      </c>
      <c r="H423" s="5">
        <v>46008.665694444448</v>
      </c>
      <c r="I423" s="6" t="s">
        <v>50</v>
      </c>
      <c r="J423" s="5">
        <v>46206.465289351851</v>
      </c>
      <c r="K423" s="6" t="s">
        <v>1425</v>
      </c>
      <c r="L423" s="6" t="s">
        <v>66</v>
      </c>
      <c r="M423" s="5"/>
      <c r="N423" s="5" t="s">
        <v>148</v>
      </c>
      <c r="O423" s="45" t="str">
        <f>_xlfn.XLOOKUP(TAB.IDEIAS.TOTAL[[#This Row],[Enviado por]],'BASE DMOS'!A:A,'BASE DMOS'!C:C,"Não encontrado")</f>
        <v>ADM/TÉCNICO/ASSISTENTE/ESTAG.</v>
      </c>
    </row>
    <row r="424" spans="1:15" ht="29" x14ac:dyDescent="0.35">
      <c r="A424" s="6" t="s">
        <v>1429</v>
      </c>
      <c r="B424" s="6" t="s">
        <v>1430</v>
      </c>
      <c r="C424" s="6" t="s">
        <v>15</v>
      </c>
      <c r="D424" s="6" t="s">
        <v>1431</v>
      </c>
      <c r="E424" s="6" t="s">
        <v>1432</v>
      </c>
      <c r="F424" s="6" t="s">
        <v>17</v>
      </c>
      <c r="G424" s="6" t="s">
        <v>61</v>
      </c>
      <c r="H424" s="5">
        <v>46027.779317129629</v>
      </c>
      <c r="I424" s="6" t="s">
        <v>204</v>
      </c>
      <c r="J424" s="5">
        <v>46132.734675925924</v>
      </c>
      <c r="K424" s="6" t="s">
        <v>252</v>
      </c>
      <c r="L424" s="6" t="s">
        <v>163</v>
      </c>
      <c r="M424" s="5">
        <v>46132.734675925924</v>
      </c>
      <c r="N424" s="5" t="s">
        <v>15</v>
      </c>
      <c r="O424" s="45" t="str">
        <f>_xlfn.XLOOKUP(TAB.IDEIAS.TOTAL[[#This Row],[Enviado por]],'BASE DMOS'!A:A,'BASE DMOS'!C:C,"Não encontrado")</f>
        <v>OPERAÇÃO</v>
      </c>
    </row>
    <row r="425" spans="1:15" ht="29" x14ac:dyDescent="0.35">
      <c r="A425" s="6" t="s">
        <v>1433</v>
      </c>
      <c r="B425" s="6" t="s">
        <v>1434</v>
      </c>
      <c r="C425" s="6" t="s">
        <v>134</v>
      </c>
      <c r="D425" s="6" t="s">
        <v>1435</v>
      </c>
      <c r="E425" s="6" t="s">
        <v>1436</v>
      </c>
      <c r="F425" s="6" t="s">
        <v>17</v>
      </c>
      <c r="G425" s="6" t="s">
        <v>30</v>
      </c>
      <c r="H425" s="5">
        <v>46028.751331018517</v>
      </c>
      <c r="I425" s="6" t="s">
        <v>204</v>
      </c>
      <c r="J425" s="5">
        <v>46041.425694444442</v>
      </c>
      <c r="K425" s="6" t="s">
        <v>123</v>
      </c>
      <c r="L425" s="6" t="s">
        <v>163</v>
      </c>
      <c r="M425" s="5">
        <v>46041.425694444442</v>
      </c>
      <c r="N425" s="5" t="s">
        <v>134</v>
      </c>
      <c r="O425" s="45" t="str">
        <f>_xlfn.XLOOKUP(TAB.IDEIAS.TOTAL[[#This Row],[Enviado por]],'BASE DMOS'!A:A,'BASE DMOS'!C:C,"Não encontrado")</f>
        <v>OPERAÇÃO</v>
      </c>
    </row>
    <row r="426" spans="1:15" ht="29" x14ac:dyDescent="0.35">
      <c r="A426" s="6" t="s">
        <v>1437</v>
      </c>
      <c r="B426" s="6" t="s">
        <v>1438</v>
      </c>
      <c r="C426" s="6" t="s">
        <v>184</v>
      </c>
      <c r="D426" s="6" t="s">
        <v>1439</v>
      </c>
      <c r="E426" s="6" t="s">
        <v>256</v>
      </c>
      <c r="F426" s="6" t="s">
        <v>17</v>
      </c>
      <c r="G426" s="6" t="s">
        <v>18</v>
      </c>
      <c r="H426" s="5">
        <v>46028.752141203702</v>
      </c>
      <c r="I426" s="6" t="s">
        <v>36</v>
      </c>
      <c r="J426" s="5">
        <v>46055.658020833333</v>
      </c>
      <c r="K426" s="6" t="s">
        <v>90</v>
      </c>
      <c r="L426" s="6" t="s">
        <v>66</v>
      </c>
      <c r="M426" s="5"/>
      <c r="N426" s="43" t="s">
        <v>392</v>
      </c>
      <c r="O426" s="45" t="str">
        <f>_xlfn.XLOOKUP(TAB.IDEIAS.TOTAL[[#This Row],[Enviado por]],'BASE DMOS'!A:A,'BASE DMOS'!C:C,"Não encontrado")</f>
        <v>OPERAÇÃO</v>
      </c>
    </row>
    <row r="427" spans="1:15" ht="43.5" x14ac:dyDescent="0.35">
      <c r="A427" s="6" t="s">
        <v>1440</v>
      </c>
      <c r="B427" s="6" t="s">
        <v>1441</v>
      </c>
      <c r="C427" s="6" t="s">
        <v>861</v>
      </c>
      <c r="D427" s="6" t="s">
        <v>1442</v>
      </c>
      <c r="E427" s="6" t="s">
        <v>151</v>
      </c>
      <c r="F427" s="6" t="s">
        <v>17</v>
      </c>
      <c r="G427" s="6" t="s">
        <v>24</v>
      </c>
      <c r="H427" s="5">
        <v>46029.407777777778</v>
      </c>
      <c r="I427" s="6" t="s">
        <v>98</v>
      </c>
      <c r="J427" s="5">
        <v>46205.593136574076</v>
      </c>
      <c r="L427" s="6" t="s">
        <v>66</v>
      </c>
      <c r="M427" s="5"/>
      <c r="N427" s="5" t="s">
        <v>861</v>
      </c>
      <c r="O427" s="45" t="str">
        <f>_xlfn.XLOOKUP(TAB.IDEIAS.TOTAL[[#This Row],[Enviado por]],'BASE DMOS'!A:A,'BASE DMOS'!C:C,"Não encontrado")</f>
        <v>ADM/TÉCNICO/ASSISTENTE/ESTAG.</v>
      </c>
    </row>
    <row r="428" spans="1:15" ht="29" x14ac:dyDescent="0.35">
      <c r="A428" s="6" t="s">
        <v>1443</v>
      </c>
      <c r="B428" s="6" t="s">
        <v>1444</v>
      </c>
      <c r="C428" s="6" t="s">
        <v>148</v>
      </c>
      <c r="D428" s="6" t="s">
        <v>1445</v>
      </c>
      <c r="E428" s="6" t="s">
        <v>85</v>
      </c>
      <c r="F428" s="6" t="s">
        <v>17</v>
      </c>
      <c r="G428" s="6" t="s">
        <v>30</v>
      </c>
      <c r="H428" s="5">
        <v>46034.506631944445</v>
      </c>
      <c r="I428" s="6" t="s">
        <v>174</v>
      </c>
      <c r="J428" s="5">
        <v>46093.451111111113</v>
      </c>
      <c r="K428" s="6" t="s">
        <v>85</v>
      </c>
      <c r="L428" s="6" t="s">
        <v>66</v>
      </c>
      <c r="M428" s="5"/>
      <c r="N428" s="5" t="s">
        <v>148</v>
      </c>
      <c r="O428" s="45" t="str">
        <f>_xlfn.XLOOKUP(TAB.IDEIAS.TOTAL[[#This Row],[Enviado por]],'BASE DMOS'!A:A,'BASE DMOS'!C:C,"Não encontrado")</f>
        <v>ADM/TÉCNICO/ASSISTENTE/ESTAG.</v>
      </c>
    </row>
    <row r="429" spans="1:15" ht="29" x14ac:dyDescent="0.35">
      <c r="A429" s="6" t="s">
        <v>1446</v>
      </c>
      <c r="B429" s="6" t="s">
        <v>1447</v>
      </c>
      <c r="C429" s="6" t="s">
        <v>148</v>
      </c>
      <c r="D429" s="6" t="s">
        <v>1448</v>
      </c>
      <c r="E429" s="6" t="s">
        <v>85</v>
      </c>
      <c r="F429" s="6" t="s">
        <v>17</v>
      </c>
      <c r="G429" s="6" t="s">
        <v>30</v>
      </c>
      <c r="H429" s="5">
        <v>46034.510069444441</v>
      </c>
      <c r="I429" s="6" t="s">
        <v>36</v>
      </c>
      <c r="J429" s="5">
        <v>46052.588923611111</v>
      </c>
      <c r="L429" s="6" t="s">
        <v>66</v>
      </c>
      <c r="M429" s="5"/>
      <c r="N429" s="5" t="s">
        <v>148</v>
      </c>
      <c r="O429" s="45" t="str">
        <f>_xlfn.XLOOKUP(TAB.IDEIAS.TOTAL[[#This Row],[Enviado por]],'BASE DMOS'!A:A,'BASE DMOS'!C:C,"Não encontrado")</f>
        <v>ADM/TÉCNICO/ASSISTENTE/ESTAG.</v>
      </c>
    </row>
    <row r="430" spans="1:15" ht="29" x14ac:dyDescent="0.35">
      <c r="A430" s="6" t="s">
        <v>1449</v>
      </c>
      <c r="B430" s="6" t="s">
        <v>1450</v>
      </c>
      <c r="C430" s="6" t="s">
        <v>148</v>
      </c>
      <c r="D430" s="6" t="s">
        <v>1451</v>
      </c>
      <c r="E430" s="6" t="s">
        <v>85</v>
      </c>
      <c r="F430" s="6" t="s">
        <v>17</v>
      </c>
      <c r="G430" s="6" t="s">
        <v>30</v>
      </c>
      <c r="H430" s="5">
        <v>46034.521585648145</v>
      </c>
      <c r="I430" s="6" t="s">
        <v>242</v>
      </c>
      <c r="J430" s="5">
        <v>46126.266516203701</v>
      </c>
      <c r="K430" s="6" t="s">
        <v>85</v>
      </c>
      <c r="L430" s="6" t="s">
        <v>32</v>
      </c>
      <c r="M430" s="5"/>
      <c r="N430" s="5" t="s">
        <v>148</v>
      </c>
      <c r="O430" s="45" t="str">
        <f>_xlfn.XLOOKUP(TAB.IDEIAS.TOTAL[[#This Row],[Enviado por]],'BASE DMOS'!A:A,'BASE DMOS'!C:C,"Não encontrado")</f>
        <v>ADM/TÉCNICO/ASSISTENTE/ESTAG.</v>
      </c>
    </row>
    <row r="431" spans="1:15" ht="43.5" x14ac:dyDescent="0.35">
      <c r="A431" s="6" t="s">
        <v>1452</v>
      </c>
      <c r="B431" s="6" t="s">
        <v>1453</v>
      </c>
      <c r="C431" s="6" t="s">
        <v>148</v>
      </c>
      <c r="D431" s="6" t="s">
        <v>1454</v>
      </c>
      <c r="E431" s="6" t="s">
        <v>85</v>
      </c>
      <c r="F431" s="6" t="s">
        <v>17</v>
      </c>
      <c r="G431" s="6" t="s">
        <v>18</v>
      </c>
      <c r="H431" s="5">
        <v>46034.525219907409</v>
      </c>
      <c r="I431" s="6" t="s">
        <v>36</v>
      </c>
      <c r="J431" s="5">
        <v>46052.58929398148</v>
      </c>
      <c r="L431" s="6" t="s">
        <v>66</v>
      </c>
      <c r="M431" s="5"/>
      <c r="N431" s="5" t="s">
        <v>148</v>
      </c>
      <c r="O431" s="45" t="str">
        <f>_xlfn.XLOOKUP(TAB.IDEIAS.TOTAL[[#This Row],[Enviado por]],'BASE DMOS'!A:A,'BASE DMOS'!C:C,"Não encontrado")</f>
        <v>ADM/TÉCNICO/ASSISTENTE/ESTAG.</v>
      </c>
    </row>
    <row r="432" spans="1:15" ht="29" x14ac:dyDescent="0.35">
      <c r="A432" s="6" t="s">
        <v>1455</v>
      </c>
      <c r="B432" s="6" t="s">
        <v>1456</v>
      </c>
      <c r="C432" s="6" t="s">
        <v>134</v>
      </c>
      <c r="D432" s="6" t="s">
        <v>1457</v>
      </c>
      <c r="E432" s="6" t="s">
        <v>85</v>
      </c>
      <c r="F432" s="6" t="s">
        <v>17</v>
      </c>
      <c r="G432" s="6" t="s">
        <v>30</v>
      </c>
      <c r="H432" s="5">
        <v>46034.527546296296</v>
      </c>
      <c r="I432" s="6" t="s">
        <v>174</v>
      </c>
      <c r="J432" s="5">
        <v>46036.553159722222</v>
      </c>
      <c r="K432" s="6" t="s">
        <v>85</v>
      </c>
      <c r="L432" s="6" t="s">
        <v>66</v>
      </c>
      <c r="M432" s="5">
        <v>46036.553159722222</v>
      </c>
      <c r="N432" s="5" t="s">
        <v>134</v>
      </c>
      <c r="O432" s="45" t="str">
        <f>_xlfn.XLOOKUP(TAB.IDEIAS.TOTAL[[#This Row],[Enviado por]],'BASE DMOS'!A:A,'BASE DMOS'!C:C,"Não encontrado")</f>
        <v>ADM/TÉCNICO/ASSISTENTE/ESTAG.</v>
      </c>
    </row>
    <row r="433" spans="1:15" ht="29" x14ac:dyDescent="0.35">
      <c r="A433" s="6" t="s">
        <v>1458</v>
      </c>
      <c r="B433" s="6" t="s">
        <v>1459</v>
      </c>
      <c r="C433" s="6" t="s">
        <v>134</v>
      </c>
      <c r="D433" s="6" t="s">
        <v>1460</v>
      </c>
      <c r="E433" s="6" t="s">
        <v>260</v>
      </c>
      <c r="F433" s="6" t="s">
        <v>17</v>
      </c>
      <c r="G433" s="6" t="s">
        <v>213</v>
      </c>
      <c r="H433" s="5">
        <v>46041.340567129628</v>
      </c>
      <c r="I433" s="6" t="s">
        <v>98</v>
      </c>
      <c r="J433" s="5">
        <v>46063.444201388891</v>
      </c>
      <c r="K433" s="6" t="s">
        <v>78</v>
      </c>
      <c r="L433" s="6" t="s">
        <v>273</v>
      </c>
      <c r="M433" s="5">
        <v>46063.444201388891</v>
      </c>
      <c r="N433" s="5" t="s">
        <v>134</v>
      </c>
      <c r="O433" s="45" t="str">
        <f>_xlfn.XLOOKUP(TAB.IDEIAS.TOTAL[[#This Row],[Enviado por]],'BASE DMOS'!A:A,'BASE DMOS'!C:C,"Não encontrado")</f>
        <v>OPERAÇÃO</v>
      </c>
    </row>
    <row r="434" spans="1:15" ht="29" x14ac:dyDescent="0.35">
      <c r="A434" s="6" t="s">
        <v>1461</v>
      </c>
      <c r="B434" s="6" t="s">
        <v>1462</v>
      </c>
      <c r="C434" s="6" t="s">
        <v>148</v>
      </c>
      <c r="D434" s="6" t="s">
        <v>1463</v>
      </c>
      <c r="E434" s="6" t="s">
        <v>260</v>
      </c>
      <c r="F434" s="6" t="s">
        <v>17</v>
      </c>
      <c r="G434" s="6" t="s">
        <v>61</v>
      </c>
      <c r="H434" s="5">
        <v>46041.347719907404</v>
      </c>
      <c r="I434" s="6" t="s">
        <v>98</v>
      </c>
      <c r="J434" s="5">
        <v>46224.4216087963</v>
      </c>
      <c r="K434" s="6" t="s">
        <v>161</v>
      </c>
      <c r="L434" s="6" t="s">
        <v>66</v>
      </c>
      <c r="M434" s="5"/>
      <c r="N434" s="5" t="s">
        <v>148</v>
      </c>
      <c r="O434" s="45" t="str">
        <f>_xlfn.XLOOKUP(TAB.IDEIAS.TOTAL[[#This Row],[Enviado por]],'BASE DMOS'!A:A,'BASE DMOS'!C:C,"Não encontrado")</f>
        <v>OPERAÇÃO</v>
      </c>
    </row>
    <row r="435" spans="1:15" ht="29" x14ac:dyDescent="0.35">
      <c r="A435" s="6" t="s">
        <v>1464</v>
      </c>
      <c r="B435" s="6" t="s">
        <v>1465</v>
      </c>
      <c r="C435" s="6" t="s">
        <v>148</v>
      </c>
      <c r="D435" s="6" t="s">
        <v>1466</v>
      </c>
      <c r="E435" s="6" t="s">
        <v>105</v>
      </c>
      <c r="F435" s="6" t="s">
        <v>17</v>
      </c>
      <c r="G435" s="6" t="s">
        <v>54</v>
      </c>
      <c r="H435" s="5">
        <v>46042.201192129629</v>
      </c>
      <c r="I435" s="6" t="s">
        <v>25</v>
      </c>
      <c r="J435" s="5">
        <v>46192.409525462965</v>
      </c>
      <c r="L435" s="6" t="s">
        <v>26</v>
      </c>
      <c r="M435" s="5"/>
      <c r="N435" s="5" t="s">
        <v>148</v>
      </c>
      <c r="O435" s="45" t="str">
        <f>_xlfn.XLOOKUP(TAB.IDEIAS.TOTAL[[#This Row],[Enviado por]],'BASE DMOS'!A:A,'BASE DMOS'!C:C,"Não encontrado")</f>
        <v>ADM/TÉCNICO/ASSISTENTE/ESTAG.</v>
      </c>
    </row>
    <row r="436" spans="1:15" ht="29" x14ac:dyDescent="0.35">
      <c r="A436" s="6" t="s">
        <v>1467</v>
      </c>
      <c r="B436" s="6" t="s">
        <v>1465</v>
      </c>
      <c r="C436" s="6" t="s">
        <v>148</v>
      </c>
      <c r="D436" s="6" t="s">
        <v>1468</v>
      </c>
      <c r="E436" s="6" t="s">
        <v>105</v>
      </c>
      <c r="F436" s="6" t="s">
        <v>17</v>
      </c>
      <c r="G436" s="6" t="s">
        <v>54</v>
      </c>
      <c r="H436" s="5">
        <v>46042.202604166669</v>
      </c>
      <c r="I436" s="6" t="s">
        <v>25</v>
      </c>
      <c r="J436" s="5">
        <v>46192.410381944443</v>
      </c>
      <c r="K436" s="6" t="s">
        <v>1425</v>
      </c>
      <c r="L436" s="6" t="s">
        <v>26</v>
      </c>
      <c r="M436" s="5"/>
      <c r="N436" s="5" t="s">
        <v>148</v>
      </c>
      <c r="O436" s="45" t="str">
        <f>_xlfn.XLOOKUP(TAB.IDEIAS.TOTAL[[#This Row],[Enviado por]],'BASE DMOS'!A:A,'BASE DMOS'!C:C,"Não encontrado")</f>
        <v>ADM/TÉCNICO/ASSISTENTE/ESTAG.</v>
      </c>
    </row>
    <row r="437" spans="1:15" ht="29" x14ac:dyDescent="0.35">
      <c r="A437" s="6" t="s">
        <v>1469</v>
      </c>
      <c r="B437" s="6" t="s">
        <v>1465</v>
      </c>
      <c r="C437" s="6" t="s">
        <v>148</v>
      </c>
      <c r="D437" s="6" t="s">
        <v>1470</v>
      </c>
      <c r="E437" s="6" t="s">
        <v>105</v>
      </c>
      <c r="F437" s="6" t="s">
        <v>17</v>
      </c>
      <c r="G437" s="6" t="s">
        <v>18</v>
      </c>
      <c r="H437" s="5">
        <v>46042.203530092593</v>
      </c>
      <c r="I437" s="6" t="s">
        <v>25</v>
      </c>
      <c r="J437" s="5">
        <v>46192.410775462966</v>
      </c>
      <c r="K437" s="6" t="s">
        <v>1425</v>
      </c>
      <c r="L437" s="6" t="s">
        <v>26</v>
      </c>
      <c r="M437" s="5"/>
      <c r="N437" s="5" t="s">
        <v>148</v>
      </c>
      <c r="O437" s="45" t="str">
        <f>_xlfn.XLOOKUP(TAB.IDEIAS.TOTAL[[#This Row],[Enviado por]],'BASE DMOS'!A:A,'BASE DMOS'!C:C,"Não encontrado")</f>
        <v>ADM/TÉCNICO/ASSISTENTE/ESTAG.</v>
      </c>
    </row>
    <row r="438" spans="1:15" ht="29" x14ac:dyDescent="0.35">
      <c r="A438" s="6" t="s">
        <v>1471</v>
      </c>
      <c r="B438" s="6" t="s">
        <v>1465</v>
      </c>
      <c r="C438" s="6" t="s">
        <v>148</v>
      </c>
      <c r="D438" s="6" t="s">
        <v>1472</v>
      </c>
      <c r="E438" s="6" t="s">
        <v>105</v>
      </c>
      <c r="F438" s="6" t="s">
        <v>17</v>
      </c>
      <c r="G438" s="6" t="s">
        <v>30</v>
      </c>
      <c r="H438" s="5">
        <v>46042.227361111109</v>
      </c>
      <c r="I438" s="6" t="s">
        <v>50</v>
      </c>
      <c r="J438" s="5">
        <v>46205.593784722223</v>
      </c>
      <c r="K438" s="6" t="s">
        <v>90</v>
      </c>
      <c r="L438" s="6" t="s">
        <v>66</v>
      </c>
      <c r="M438" s="5"/>
      <c r="N438" s="5" t="s">
        <v>148</v>
      </c>
      <c r="O438" s="45" t="str">
        <f>_xlfn.XLOOKUP(TAB.IDEIAS.TOTAL[[#This Row],[Enviado por]],'BASE DMOS'!A:A,'BASE DMOS'!C:C,"Não encontrado")</f>
        <v>ADM/TÉCNICO/ASSISTENTE/ESTAG.</v>
      </c>
    </row>
    <row r="439" spans="1:15" ht="43.5" x14ac:dyDescent="0.35">
      <c r="A439" s="6" t="s">
        <v>1473</v>
      </c>
      <c r="B439" s="6" t="s">
        <v>1474</v>
      </c>
      <c r="C439" s="6" t="s">
        <v>148</v>
      </c>
      <c r="D439" s="6" t="s">
        <v>1475</v>
      </c>
      <c r="E439" s="6" t="s">
        <v>46</v>
      </c>
      <c r="F439" s="6" t="s">
        <v>17</v>
      </c>
      <c r="G439" s="6" t="s">
        <v>18</v>
      </c>
      <c r="H439" s="5">
        <v>46046.702650462961</v>
      </c>
      <c r="I439" s="6" t="s">
        <v>50</v>
      </c>
      <c r="J439" s="5">
        <v>46206.442743055559</v>
      </c>
      <c r="K439" s="6" t="s">
        <v>117</v>
      </c>
      <c r="L439" s="6" t="s">
        <v>66</v>
      </c>
      <c r="M439" s="5"/>
      <c r="N439" s="5" t="s">
        <v>148</v>
      </c>
      <c r="O439" s="45" t="str">
        <f>_xlfn.XLOOKUP(TAB.IDEIAS.TOTAL[[#This Row],[Enviado por]],'BASE DMOS'!A:A,'BASE DMOS'!C:C,"Não encontrado")</f>
        <v>OPERAÇÃO</v>
      </c>
    </row>
    <row r="440" spans="1:15" ht="29" x14ac:dyDescent="0.35">
      <c r="A440" s="6" t="s">
        <v>1476</v>
      </c>
      <c r="B440" s="6" t="s">
        <v>1477</v>
      </c>
      <c r="C440" s="6" t="s">
        <v>15</v>
      </c>
      <c r="D440" s="6" t="s">
        <v>1478</v>
      </c>
      <c r="E440" s="6" t="s">
        <v>77</v>
      </c>
      <c r="F440" s="6" t="s">
        <v>17</v>
      </c>
      <c r="G440" s="6" t="s">
        <v>24</v>
      </c>
      <c r="H440" s="5">
        <v>46048.609016203707</v>
      </c>
      <c r="I440" s="6" t="s">
        <v>174</v>
      </c>
      <c r="J440" s="5">
        <v>46055.618819444448</v>
      </c>
      <c r="L440" s="6" t="s">
        <v>66</v>
      </c>
      <c r="M440" s="5">
        <v>46055.618819444448</v>
      </c>
      <c r="N440" s="5" t="s">
        <v>15</v>
      </c>
      <c r="O440" s="45" t="str">
        <f>_xlfn.XLOOKUP(TAB.IDEIAS.TOTAL[[#This Row],[Enviado por]],'BASE DMOS'!A:A,'BASE DMOS'!C:C,"Não encontrado")</f>
        <v>OPERAÇÃO</v>
      </c>
    </row>
    <row r="441" spans="1:15" ht="29" x14ac:dyDescent="0.35">
      <c r="A441" s="6" t="s">
        <v>1479</v>
      </c>
      <c r="B441" s="6" t="s">
        <v>1480</v>
      </c>
      <c r="C441" s="6" t="s">
        <v>15</v>
      </c>
      <c r="D441" s="6" t="s">
        <v>1481</v>
      </c>
      <c r="E441" s="6" t="s">
        <v>151</v>
      </c>
      <c r="F441" s="6" t="s">
        <v>17</v>
      </c>
      <c r="G441" s="6" t="s">
        <v>24</v>
      </c>
      <c r="H441" s="5">
        <v>46048.641087962962</v>
      </c>
      <c r="I441" s="6" t="s">
        <v>98</v>
      </c>
      <c r="J441" s="5">
        <v>46063.412280092591</v>
      </c>
      <c r="L441" s="6" t="s">
        <v>273</v>
      </c>
      <c r="M441" s="5">
        <v>46063.412280092591</v>
      </c>
      <c r="N441" s="5" t="s">
        <v>15</v>
      </c>
      <c r="O441" s="45" t="str">
        <f>_xlfn.XLOOKUP(TAB.IDEIAS.TOTAL[[#This Row],[Enviado por]],'BASE DMOS'!A:A,'BASE DMOS'!C:C,"Não encontrado")</f>
        <v>ADM/TÉCNICO/ASSISTENTE/ESTAG.</v>
      </c>
    </row>
    <row r="442" spans="1:15" ht="43.5" x14ac:dyDescent="0.35">
      <c r="A442" s="6" t="s">
        <v>1482</v>
      </c>
      <c r="B442" s="6" t="s">
        <v>1483</v>
      </c>
      <c r="C442" s="6" t="s">
        <v>134</v>
      </c>
      <c r="D442" s="6" t="s">
        <v>1484</v>
      </c>
      <c r="E442" s="6" t="s">
        <v>117</v>
      </c>
      <c r="F442" s="6" t="s">
        <v>17</v>
      </c>
      <c r="G442" s="6" t="s">
        <v>61</v>
      </c>
      <c r="H442" s="5">
        <v>46049.498784722222</v>
      </c>
      <c r="I442" s="6" t="s">
        <v>50</v>
      </c>
      <c r="J442" s="5">
        <v>46055.566770833335</v>
      </c>
      <c r="L442" s="6" t="s">
        <v>66</v>
      </c>
      <c r="M442" s="5">
        <v>46055.566770833335</v>
      </c>
      <c r="N442" s="5" t="s">
        <v>134</v>
      </c>
      <c r="O442" s="45" t="str">
        <f>_xlfn.XLOOKUP(TAB.IDEIAS.TOTAL[[#This Row],[Enviado por]],'BASE DMOS'!A:A,'BASE DMOS'!C:C,"Não encontrado")</f>
        <v>ADM/TÉCNICO/ASSISTENTE/ESTAG.</v>
      </c>
    </row>
    <row r="443" spans="1:15" ht="101.5" x14ac:dyDescent="0.35">
      <c r="A443" s="6" t="s">
        <v>1485</v>
      </c>
      <c r="B443" s="6" t="s">
        <v>1486</v>
      </c>
      <c r="C443" s="6" t="s">
        <v>148</v>
      </c>
      <c r="D443" s="6" t="s">
        <v>1487</v>
      </c>
      <c r="E443" s="6" t="s">
        <v>1436</v>
      </c>
      <c r="F443" s="6" t="s">
        <v>17</v>
      </c>
      <c r="G443" s="6" t="s">
        <v>602</v>
      </c>
      <c r="H443" s="5">
        <v>46055.895752314813</v>
      </c>
      <c r="I443" s="6" t="s">
        <v>204</v>
      </c>
      <c r="J443" s="5">
        <v>46062.439212962963</v>
      </c>
      <c r="L443" s="6" t="s">
        <v>163</v>
      </c>
      <c r="M443" s="5"/>
      <c r="N443" s="5" t="s">
        <v>148</v>
      </c>
      <c r="O443" s="45" t="str">
        <f>_xlfn.XLOOKUP(TAB.IDEIAS.TOTAL[[#This Row],[Enviado por]],'BASE DMOS'!A:A,'BASE DMOS'!C:C,"Não encontrado")</f>
        <v>OPERAÇÃO</v>
      </c>
    </row>
    <row r="444" spans="1:15" ht="43.5" x14ac:dyDescent="0.35">
      <c r="A444" s="6" t="s">
        <v>1488</v>
      </c>
      <c r="B444" s="6" t="s">
        <v>1489</v>
      </c>
      <c r="C444" s="6" t="s">
        <v>184</v>
      </c>
      <c r="D444" s="6" t="s">
        <v>1490</v>
      </c>
      <c r="E444" s="6" t="s">
        <v>256</v>
      </c>
      <c r="F444" s="6" t="s">
        <v>17</v>
      </c>
      <c r="G444" s="6" t="s">
        <v>18</v>
      </c>
      <c r="H444" s="5">
        <v>46057.931273148148</v>
      </c>
      <c r="I444" s="6" t="s">
        <v>50</v>
      </c>
      <c r="J444" s="5">
        <v>46135.390613425923</v>
      </c>
      <c r="K444" s="6" t="s">
        <v>498</v>
      </c>
      <c r="L444" s="6" t="s">
        <v>66</v>
      </c>
      <c r="M444" s="5"/>
      <c r="N444" s="43" t="s">
        <v>295</v>
      </c>
      <c r="O444" s="45" t="str">
        <f>_xlfn.XLOOKUP(TAB.IDEIAS.TOTAL[[#This Row],[Enviado por]],'BASE DMOS'!A:A,'BASE DMOS'!C:C,"Não encontrado")</f>
        <v>OPERAÇÃO</v>
      </c>
    </row>
    <row r="445" spans="1:15" ht="43.5" x14ac:dyDescent="0.35">
      <c r="A445" s="6" t="s">
        <v>1491</v>
      </c>
      <c r="B445" s="6" t="s">
        <v>1492</v>
      </c>
      <c r="C445" s="6" t="s">
        <v>148</v>
      </c>
      <c r="D445" s="6" t="s">
        <v>1493</v>
      </c>
      <c r="E445" s="6" t="s">
        <v>483</v>
      </c>
      <c r="F445" s="6" t="s">
        <v>17</v>
      </c>
      <c r="G445" s="6" t="s">
        <v>30</v>
      </c>
      <c r="H445" s="5">
        <v>46062.419803240744</v>
      </c>
      <c r="I445" s="6" t="s">
        <v>25</v>
      </c>
      <c r="J445" s="5">
        <v>46189.471053240741</v>
      </c>
      <c r="L445" s="6" t="s">
        <v>26</v>
      </c>
      <c r="M445" s="5"/>
      <c r="N445" s="5" t="s">
        <v>148</v>
      </c>
      <c r="O445" s="45" t="str">
        <f>_xlfn.XLOOKUP(TAB.IDEIAS.TOTAL[[#This Row],[Enviado por]],'BASE DMOS'!A:A,'BASE DMOS'!C:C,"Não encontrado")</f>
        <v>ADM/TÉCNICO/ASSISTENTE/ESTAG.</v>
      </c>
    </row>
    <row r="446" spans="1:15" ht="43.5" x14ac:dyDescent="0.35">
      <c r="A446" s="6" t="s">
        <v>1494</v>
      </c>
      <c r="B446" s="6" t="s">
        <v>1495</v>
      </c>
      <c r="C446" s="6" t="s">
        <v>184</v>
      </c>
      <c r="D446" s="6" t="s">
        <v>1496</v>
      </c>
      <c r="E446" s="6" t="s">
        <v>260</v>
      </c>
      <c r="F446" s="6" t="s">
        <v>17</v>
      </c>
      <c r="G446" s="6" t="s">
        <v>24</v>
      </c>
      <c r="H446" s="5">
        <v>46063.047314814816</v>
      </c>
      <c r="I446" s="6" t="s">
        <v>86</v>
      </c>
      <c r="J446" s="5">
        <v>46231.697731481479</v>
      </c>
      <c r="L446" s="6" t="s">
        <v>66</v>
      </c>
      <c r="M446" s="5"/>
      <c r="N446" s="43" t="s">
        <v>392</v>
      </c>
      <c r="O446" s="45" t="str">
        <f>_xlfn.XLOOKUP(TAB.IDEIAS.TOTAL[[#This Row],[Enviado por]],'BASE DMOS'!A:A,'BASE DMOS'!C:C,"Não encontrado")</f>
        <v>OPERAÇÃO</v>
      </c>
    </row>
    <row r="447" spans="1:15" ht="58" x14ac:dyDescent="0.35">
      <c r="A447" s="6" t="s">
        <v>1497</v>
      </c>
      <c r="B447" s="6" t="s">
        <v>1498</v>
      </c>
      <c r="C447" s="6" t="s">
        <v>148</v>
      </c>
      <c r="D447" s="6" t="s">
        <v>1499</v>
      </c>
      <c r="E447" s="6" t="s">
        <v>336</v>
      </c>
      <c r="F447" s="6" t="s">
        <v>17</v>
      </c>
      <c r="G447" s="6" t="s">
        <v>24</v>
      </c>
      <c r="H447" s="5">
        <v>46063.364340277774</v>
      </c>
      <c r="I447" s="6" t="s">
        <v>50</v>
      </c>
      <c r="J447" s="5">
        <v>46164.577800925923</v>
      </c>
      <c r="K447" s="6" t="s">
        <v>337</v>
      </c>
      <c r="L447" s="6" t="s">
        <v>66</v>
      </c>
      <c r="M447" s="5"/>
      <c r="N447" s="5" t="s">
        <v>148</v>
      </c>
      <c r="O447" s="45" t="str">
        <f>_xlfn.XLOOKUP(TAB.IDEIAS.TOTAL[[#This Row],[Enviado por]],'BASE DMOS'!A:A,'BASE DMOS'!C:C,"Não encontrado")</f>
        <v>OPERAÇÃO</v>
      </c>
    </row>
    <row r="448" spans="1:15" ht="29" x14ac:dyDescent="0.35">
      <c r="A448" s="6" t="s">
        <v>1500</v>
      </c>
      <c r="B448" s="6" t="s">
        <v>1501</v>
      </c>
      <c r="C448" s="6" t="s">
        <v>15</v>
      </c>
      <c r="D448" s="6" t="s">
        <v>1502</v>
      </c>
      <c r="E448" s="6" t="s">
        <v>336</v>
      </c>
      <c r="F448" s="6" t="s">
        <v>17</v>
      </c>
      <c r="G448" s="6" t="s">
        <v>24</v>
      </c>
      <c r="H448" s="5">
        <v>46063.373402777775</v>
      </c>
      <c r="I448" s="6" t="s">
        <v>204</v>
      </c>
      <c r="J448" s="5">
        <v>46063.613495370373</v>
      </c>
      <c r="L448" s="6" t="s">
        <v>163</v>
      </c>
      <c r="M448" s="5">
        <v>46063.613495370373</v>
      </c>
      <c r="N448" s="5" t="s">
        <v>15</v>
      </c>
      <c r="O448" s="45" t="str">
        <f>_xlfn.XLOOKUP(TAB.IDEIAS.TOTAL[[#This Row],[Enviado por]],'BASE DMOS'!A:A,'BASE DMOS'!C:C,"Não encontrado")</f>
        <v>OPERAÇÃO</v>
      </c>
    </row>
    <row r="449" spans="1:15" ht="58" x14ac:dyDescent="0.35">
      <c r="A449" s="6" t="s">
        <v>1503</v>
      </c>
      <c r="B449" s="6" t="s">
        <v>1504</v>
      </c>
      <c r="C449" s="6" t="s">
        <v>148</v>
      </c>
      <c r="D449" s="6" t="s">
        <v>1505</v>
      </c>
      <c r="E449" s="6" t="s">
        <v>336</v>
      </c>
      <c r="F449" s="6" t="s">
        <v>17</v>
      </c>
      <c r="G449" s="6" t="s">
        <v>24</v>
      </c>
      <c r="H449" s="5">
        <v>46063.385740740741</v>
      </c>
      <c r="I449" s="6" t="s">
        <v>86</v>
      </c>
      <c r="J449" s="5">
        <v>46211.436655092592</v>
      </c>
      <c r="K449" s="6" t="s">
        <v>294</v>
      </c>
      <c r="L449" s="6" t="s">
        <v>66</v>
      </c>
      <c r="M449" s="5"/>
      <c r="N449" s="5" t="s">
        <v>148</v>
      </c>
      <c r="O449" s="45" t="str">
        <f>_xlfn.XLOOKUP(TAB.IDEIAS.TOTAL[[#This Row],[Enviado por]],'BASE DMOS'!A:A,'BASE DMOS'!C:C,"Não encontrado")</f>
        <v>OPERAÇÃO</v>
      </c>
    </row>
    <row r="450" spans="1:15" ht="29" x14ac:dyDescent="0.35">
      <c r="A450" s="6" t="s">
        <v>1506</v>
      </c>
      <c r="B450" s="6" t="s">
        <v>1507</v>
      </c>
      <c r="C450" s="6" t="s">
        <v>134</v>
      </c>
      <c r="D450" s="6" t="s">
        <v>1508</v>
      </c>
      <c r="E450" s="6" t="s">
        <v>109</v>
      </c>
      <c r="F450" s="6" t="s">
        <v>17</v>
      </c>
      <c r="G450" s="6" t="s">
        <v>18</v>
      </c>
      <c r="H450" s="5">
        <v>46064.410115740742</v>
      </c>
      <c r="I450" s="6" t="s">
        <v>695</v>
      </c>
      <c r="J450" s="5">
        <v>46064.442986111113</v>
      </c>
      <c r="K450" s="6" t="s">
        <v>97</v>
      </c>
      <c r="L450" s="6" t="s">
        <v>273</v>
      </c>
      <c r="M450" s="5">
        <v>46064.442986111113</v>
      </c>
      <c r="N450" s="5" t="s">
        <v>134</v>
      </c>
      <c r="O450" s="45" t="str">
        <f>_xlfn.XLOOKUP(TAB.IDEIAS.TOTAL[[#This Row],[Enviado por]],'BASE DMOS'!A:A,'BASE DMOS'!C:C,"Não encontrado")</f>
        <v>ADM/TÉCNICO/ASSISTENTE/ESTAG.</v>
      </c>
    </row>
    <row r="451" spans="1:15" ht="43.5" x14ac:dyDescent="0.35">
      <c r="A451" s="6" t="s">
        <v>1509</v>
      </c>
      <c r="B451" s="6" t="s">
        <v>1510</v>
      </c>
      <c r="C451" s="6" t="s">
        <v>184</v>
      </c>
      <c r="D451" s="6" t="s">
        <v>1511</v>
      </c>
      <c r="E451" s="6" t="s">
        <v>85</v>
      </c>
      <c r="F451" s="6" t="s">
        <v>17</v>
      </c>
      <c r="G451" s="6" t="s">
        <v>54</v>
      </c>
      <c r="H451" s="5">
        <v>46064.579791666663</v>
      </c>
      <c r="I451" s="6" t="s">
        <v>86</v>
      </c>
      <c r="J451" s="5">
        <v>46121.506747685184</v>
      </c>
      <c r="K451" s="6" t="s">
        <v>498</v>
      </c>
      <c r="L451" s="6" t="s">
        <v>87</v>
      </c>
      <c r="M451" s="5"/>
      <c r="N451" s="43" t="s">
        <v>232</v>
      </c>
      <c r="O451" s="45" t="str">
        <f>_xlfn.XLOOKUP(TAB.IDEIAS.TOTAL[[#This Row],[Enviado por]],'BASE DMOS'!A:A,'BASE DMOS'!C:C,"Não encontrado")</f>
        <v>ADM/TÉCNICO/ASSISTENTE/ESTAG.</v>
      </c>
    </row>
    <row r="452" spans="1:15" ht="87" x14ac:dyDescent="0.35">
      <c r="A452" s="6" t="s">
        <v>83</v>
      </c>
      <c r="B452" s="6" t="s">
        <v>84</v>
      </c>
      <c r="C452" s="6" t="s">
        <v>15</v>
      </c>
      <c r="D452" s="6" t="s">
        <v>1512</v>
      </c>
      <c r="E452" s="6" t="s">
        <v>85</v>
      </c>
      <c r="F452" s="6" t="s">
        <v>17</v>
      </c>
      <c r="G452" s="6" t="s">
        <v>24</v>
      </c>
      <c r="H452" s="5">
        <v>46064.582199074073</v>
      </c>
      <c r="I452" s="6" t="s">
        <v>86</v>
      </c>
      <c r="J452" s="5">
        <v>46098.65116898148</v>
      </c>
      <c r="L452" s="6" t="s">
        <v>87</v>
      </c>
      <c r="M452" s="5">
        <v>46098.65116898148</v>
      </c>
      <c r="N452" s="5" t="s">
        <v>15</v>
      </c>
      <c r="O452" s="45" t="str">
        <f>_xlfn.XLOOKUP(TAB.IDEIAS.TOTAL[[#This Row],[Enviado por]],'BASE DMOS'!A:A,'BASE DMOS'!C:C,"Não encontrado")</f>
        <v>ADM/TÉCNICO/ASSISTENTE/ESTAG.</v>
      </c>
    </row>
    <row r="453" spans="1:15" ht="58" x14ac:dyDescent="0.35">
      <c r="A453" s="6" t="s">
        <v>1513</v>
      </c>
      <c r="B453" s="6" t="s">
        <v>1514</v>
      </c>
      <c r="C453" s="6" t="s">
        <v>184</v>
      </c>
      <c r="D453" s="6" t="s">
        <v>1515</v>
      </c>
      <c r="E453" s="6" t="s">
        <v>53</v>
      </c>
      <c r="F453" s="6" t="s">
        <v>17</v>
      </c>
      <c r="G453" s="6" t="s">
        <v>30</v>
      </c>
      <c r="H453" s="5">
        <v>46066.144687499997</v>
      </c>
      <c r="I453" s="6" t="s">
        <v>36</v>
      </c>
      <c r="J453" s="5">
        <v>46128.668553240743</v>
      </c>
      <c r="K453" s="6" t="s">
        <v>90</v>
      </c>
      <c r="L453" s="6" t="s">
        <v>66</v>
      </c>
      <c r="M453" s="5"/>
      <c r="N453" s="43" t="s">
        <v>186</v>
      </c>
      <c r="O453" s="45" t="str">
        <f>_xlfn.XLOOKUP(TAB.IDEIAS.TOTAL[[#This Row],[Enviado por]],'BASE DMOS'!A:A,'BASE DMOS'!C:C,"Não encontrado")</f>
        <v>OPERAÇÃO</v>
      </c>
    </row>
    <row r="454" spans="1:15" ht="58" x14ac:dyDescent="0.35">
      <c r="A454" s="6" t="s">
        <v>1516</v>
      </c>
      <c r="B454" s="6" t="s">
        <v>1517</v>
      </c>
      <c r="C454" s="6" t="s">
        <v>148</v>
      </c>
      <c r="D454" s="6" t="s">
        <v>1518</v>
      </c>
      <c r="E454" s="6" t="s">
        <v>64</v>
      </c>
      <c r="F454" s="6" t="s">
        <v>17</v>
      </c>
      <c r="G454" s="6" t="s">
        <v>30</v>
      </c>
      <c r="H454" s="5">
        <v>46066.230208333334</v>
      </c>
      <c r="I454" s="6" t="s">
        <v>174</v>
      </c>
      <c r="J454" s="5">
        <v>46199.236724537041</v>
      </c>
      <c r="K454" s="6" t="s">
        <v>1425</v>
      </c>
      <c r="L454" s="6" t="s">
        <v>66</v>
      </c>
      <c r="M454" s="5"/>
      <c r="N454" s="5" t="s">
        <v>148</v>
      </c>
      <c r="O454" s="45" t="str">
        <f>_xlfn.XLOOKUP(TAB.IDEIAS.TOTAL[[#This Row],[Enviado por]],'BASE DMOS'!A:A,'BASE DMOS'!C:C,"Não encontrado")</f>
        <v>OPERAÇÃO</v>
      </c>
    </row>
    <row r="455" spans="1:15" ht="43.5" x14ac:dyDescent="0.35">
      <c r="A455" s="6" t="s">
        <v>1519</v>
      </c>
      <c r="B455" s="6" t="s">
        <v>1520</v>
      </c>
      <c r="C455" s="6" t="s">
        <v>148</v>
      </c>
      <c r="D455" s="6" t="s">
        <v>1521</v>
      </c>
      <c r="E455" s="6" t="s">
        <v>562</v>
      </c>
      <c r="F455" s="6" t="s">
        <v>17</v>
      </c>
      <c r="G455" s="6" t="s">
        <v>24</v>
      </c>
      <c r="H455" s="5">
        <v>46072.348495370374</v>
      </c>
      <c r="I455" s="6" t="s">
        <v>86</v>
      </c>
      <c r="J455" s="5">
        <v>46153.451493055552</v>
      </c>
      <c r="L455" s="6" t="s">
        <v>87</v>
      </c>
      <c r="M455" s="5"/>
      <c r="N455" s="5" t="s">
        <v>148</v>
      </c>
      <c r="O455" s="45" t="str">
        <f>_xlfn.XLOOKUP(TAB.IDEIAS.TOTAL[[#This Row],[Enviado por]],'BASE DMOS'!A:A,'BASE DMOS'!C:C,"Não encontrado")</f>
        <v>OPERAÇÃO</v>
      </c>
    </row>
    <row r="456" spans="1:15" ht="72.5" x14ac:dyDescent="0.35">
      <c r="A456" s="6" t="s">
        <v>1522</v>
      </c>
      <c r="B456" s="6" t="s">
        <v>1523</v>
      </c>
      <c r="C456" s="6" t="s">
        <v>148</v>
      </c>
      <c r="D456" s="6" t="s">
        <v>1524</v>
      </c>
      <c r="E456" s="6" t="s">
        <v>1525</v>
      </c>
      <c r="F456" s="6" t="s">
        <v>17</v>
      </c>
      <c r="G456" s="6" t="s">
        <v>61</v>
      </c>
      <c r="H456" s="5">
        <v>46072.56627314815</v>
      </c>
      <c r="I456" s="6" t="s">
        <v>227</v>
      </c>
      <c r="J456" s="5">
        <v>46289.37908564815</v>
      </c>
      <c r="K456" s="6" t="s">
        <v>337</v>
      </c>
      <c r="L456" s="6" t="s">
        <v>66</v>
      </c>
      <c r="M456" s="5"/>
      <c r="N456" s="43" t="s">
        <v>148</v>
      </c>
      <c r="O456" s="45" t="str">
        <f>_xlfn.XLOOKUP(TAB.IDEIAS.TOTAL[[#This Row],[Enviado por]],'BASE DMOS'!A:A,'BASE DMOS'!C:C,"Não encontrado")</f>
        <v>OPERAÇÃO</v>
      </c>
    </row>
    <row r="457" spans="1:15" ht="43.5" x14ac:dyDescent="0.35">
      <c r="A457" s="6" t="s">
        <v>1526</v>
      </c>
      <c r="B457" s="6" t="s">
        <v>1527</v>
      </c>
      <c r="C457" s="6" t="s">
        <v>15</v>
      </c>
      <c r="D457" s="6" t="s">
        <v>1528</v>
      </c>
      <c r="E457" s="6" t="s">
        <v>299</v>
      </c>
      <c r="F457" s="6" t="s">
        <v>17</v>
      </c>
      <c r="G457" s="6" t="s">
        <v>61</v>
      </c>
      <c r="H457" s="5">
        <v>46076.426979166667</v>
      </c>
      <c r="I457" s="6" t="s">
        <v>19</v>
      </c>
      <c r="J457" s="5">
        <v>46143.545578703706</v>
      </c>
      <c r="L457" s="6" t="s">
        <v>20</v>
      </c>
      <c r="M457" s="5">
        <v>46143.545578703706</v>
      </c>
      <c r="N457" s="5" t="s">
        <v>15</v>
      </c>
      <c r="O457" s="45" t="str">
        <f>_xlfn.XLOOKUP(TAB.IDEIAS.TOTAL[[#This Row],[Enviado por]],'BASE DMOS'!A:A,'BASE DMOS'!C:C,"Não encontrado")</f>
        <v>OPERAÇÃO</v>
      </c>
    </row>
    <row r="458" spans="1:15" ht="43.5" x14ac:dyDescent="0.35">
      <c r="A458" s="6" t="s">
        <v>1529</v>
      </c>
      <c r="B458" s="6" t="s">
        <v>1530</v>
      </c>
      <c r="C458" s="6" t="s">
        <v>861</v>
      </c>
      <c r="D458" s="6" t="s">
        <v>1531</v>
      </c>
      <c r="E458" s="6" t="s">
        <v>299</v>
      </c>
      <c r="F458" s="6" t="s">
        <v>17</v>
      </c>
      <c r="G458" s="6" t="s">
        <v>61</v>
      </c>
      <c r="H458" s="5">
        <v>46076.443495370368</v>
      </c>
      <c r="I458" s="6" t="s">
        <v>50</v>
      </c>
      <c r="J458" s="5">
        <v>46205.596134259256</v>
      </c>
      <c r="L458" s="6" t="s">
        <v>66</v>
      </c>
      <c r="M458" s="5"/>
      <c r="N458" s="5" t="s">
        <v>861</v>
      </c>
      <c r="O458" s="45" t="str">
        <f>_xlfn.XLOOKUP(TAB.IDEIAS.TOTAL[[#This Row],[Enviado por]],'BASE DMOS'!A:A,'BASE DMOS'!C:C,"Não encontrado")</f>
        <v>OPERAÇÃO</v>
      </c>
    </row>
    <row r="459" spans="1:15" ht="43.5" x14ac:dyDescent="0.35">
      <c r="A459" s="6" t="s">
        <v>1532</v>
      </c>
      <c r="B459" s="6" t="s">
        <v>1533</v>
      </c>
      <c r="C459" s="6" t="s">
        <v>15</v>
      </c>
      <c r="D459" s="6" t="s">
        <v>1534</v>
      </c>
      <c r="E459" s="6" t="s">
        <v>1535</v>
      </c>
      <c r="F459" s="6" t="s">
        <v>17</v>
      </c>
      <c r="G459" s="6" t="s">
        <v>24</v>
      </c>
      <c r="H459" s="5">
        <v>46076.453888888886</v>
      </c>
      <c r="I459" s="6" t="s">
        <v>86</v>
      </c>
      <c r="J459" s="5">
        <v>46098.662835648145</v>
      </c>
      <c r="L459" s="6" t="s">
        <v>87</v>
      </c>
      <c r="M459" s="5">
        <v>46098.662835648145</v>
      </c>
      <c r="N459" s="5" t="s">
        <v>15</v>
      </c>
      <c r="O459" s="45" t="str">
        <f>_xlfn.XLOOKUP(TAB.IDEIAS.TOTAL[[#This Row],[Enviado por]],'BASE DMOS'!A:A,'BASE DMOS'!C:C,"Não encontrado")</f>
        <v>OPERAÇÃO</v>
      </c>
    </row>
    <row r="460" spans="1:15" ht="43.5" x14ac:dyDescent="0.35">
      <c r="A460" s="6" t="s">
        <v>1536</v>
      </c>
      <c r="B460" s="6" t="s">
        <v>1537</v>
      </c>
      <c r="C460" s="6" t="s">
        <v>15</v>
      </c>
      <c r="D460" s="6" t="s">
        <v>1538</v>
      </c>
      <c r="E460" s="6" t="s">
        <v>1189</v>
      </c>
      <c r="F460" s="6" t="s">
        <v>17</v>
      </c>
      <c r="G460" s="6" t="s">
        <v>30</v>
      </c>
      <c r="H460" s="5">
        <v>46078.626736111109</v>
      </c>
      <c r="I460" s="6" t="s">
        <v>25</v>
      </c>
      <c r="J460" s="5">
        <v>46112.386574074073</v>
      </c>
      <c r="L460" s="6" t="s">
        <v>26</v>
      </c>
      <c r="M460" s="5">
        <v>46112.38658564815</v>
      </c>
      <c r="N460" s="5" t="s">
        <v>15</v>
      </c>
      <c r="O460" s="45" t="str">
        <f>_xlfn.XLOOKUP(TAB.IDEIAS.TOTAL[[#This Row],[Enviado por]],'BASE DMOS'!A:A,'BASE DMOS'!C:C,"Não encontrado")</f>
        <v>OPERAÇÃO</v>
      </c>
    </row>
    <row r="461" spans="1:15" ht="217.5" x14ac:dyDescent="0.35">
      <c r="A461" s="6" t="s">
        <v>110</v>
      </c>
      <c r="B461" s="6" t="s">
        <v>111</v>
      </c>
      <c r="C461" s="6" t="s">
        <v>184</v>
      </c>
      <c r="D461" s="6" t="s">
        <v>1539</v>
      </c>
      <c r="E461" s="6" t="s">
        <v>81</v>
      </c>
      <c r="F461" s="6" t="s">
        <v>112</v>
      </c>
      <c r="G461" s="6" t="s">
        <v>24</v>
      </c>
      <c r="H461" s="5">
        <v>46080.34138888889</v>
      </c>
      <c r="I461" s="6" t="s">
        <v>31</v>
      </c>
      <c r="J461" s="5">
        <v>46132.763506944444</v>
      </c>
      <c r="L461" s="6" t="s">
        <v>32</v>
      </c>
      <c r="M461" s="5"/>
      <c r="N461" s="14" t="s">
        <v>215</v>
      </c>
      <c r="O461" s="45" t="str">
        <f>_xlfn.XLOOKUP(TAB.IDEIAS.TOTAL[[#This Row],[Enviado por]],'BASE DMOS'!A:A,'BASE DMOS'!C:C,"Não encontrado")</f>
        <v>OPERAÇÃO</v>
      </c>
    </row>
    <row r="462" spans="1:15" ht="43.5" x14ac:dyDescent="0.35">
      <c r="A462" s="6" t="s">
        <v>1540</v>
      </c>
      <c r="B462" s="6" t="s">
        <v>496</v>
      </c>
      <c r="C462" s="6" t="s">
        <v>15</v>
      </c>
      <c r="D462" s="6" t="s">
        <v>1541</v>
      </c>
      <c r="E462" s="6" t="s">
        <v>498</v>
      </c>
      <c r="F462" s="6" t="s">
        <v>17</v>
      </c>
      <c r="G462" s="6" t="s">
        <v>24</v>
      </c>
      <c r="H462" s="5">
        <v>46083.390277777777</v>
      </c>
      <c r="I462" s="6" t="s">
        <v>19</v>
      </c>
      <c r="J462" s="5">
        <v>46202.47923611111</v>
      </c>
      <c r="L462" s="6" t="s">
        <v>66</v>
      </c>
      <c r="M462" s="5">
        <v>46202.47923611111</v>
      </c>
      <c r="N462" s="5" t="s">
        <v>15</v>
      </c>
      <c r="O462" s="45" t="str">
        <f>_xlfn.XLOOKUP(TAB.IDEIAS.TOTAL[[#This Row],[Enviado por]],'BASE DMOS'!A:A,'BASE DMOS'!C:C,"Não encontrado")</f>
        <v>ADM/TÉCNICO/ASSISTENTE/ESTAG.</v>
      </c>
    </row>
    <row r="463" spans="1:15" ht="43.5" x14ac:dyDescent="0.35">
      <c r="A463" s="6" t="s">
        <v>1542</v>
      </c>
      <c r="B463" s="6" t="s">
        <v>1543</v>
      </c>
      <c r="C463" s="6" t="s">
        <v>184</v>
      </c>
      <c r="D463" s="6" t="s">
        <v>1544</v>
      </c>
      <c r="E463" s="6" t="s">
        <v>120</v>
      </c>
      <c r="F463" s="6" t="s">
        <v>17</v>
      </c>
      <c r="G463" s="6" t="s">
        <v>24</v>
      </c>
      <c r="H463" s="5">
        <v>46083.457361111112</v>
      </c>
      <c r="I463" s="6" t="s">
        <v>86</v>
      </c>
      <c r="J463" s="5">
        <v>46087.458252314813</v>
      </c>
      <c r="K463" s="6" t="s">
        <v>445</v>
      </c>
      <c r="L463" s="6" t="s">
        <v>87</v>
      </c>
      <c r="M463" s="5"/>
      <c r="N463" s="43" t="s">
        <v>186</v>
      </c>
      <c r="O463" s="45" t="str">
        <f>_xlfn.XLOOKUP(TAB.IDEIAS.TOTAL[[#This Row],[Enviado por]],'BASE DMOS'!A:A,'BASE DMOS'!C:C,"Não encontrado")</f>
        <v>OPERAÇÃO</v>
      </c>
    </row>
    <row r="464" spans="1:15" ht="43.5" x14ac:dyDescent="0.35">
      <c r="A464" s="6" t="s">
        <v>1545</v>
      </c>
      <c r="B464" s="6" t="s">
        <v>1546</v>
      </c>
      <c r="C464" s="6" t="s">
        <v>148</v>
      </c>
      <c r="D464" s="6" t="s">
        <v>1547</v>
      </c>
      <c r="E464" s="6" t="s">
        <v>57</v>
      </c>
      <c r="F464" s="6" t="s">
        <v>17</v>
      </c>
      <c r="G464" s="6" t="s">
        <v>30</v>
      </c>
      <c r="H464" s="5">
        <v>46084.548726851855</v>
      </c>
      <c r="I464" s="6" t="s">
        <v>36</v>
      </c>
      <c r="J464" s="5">
        <v>46128.661874999998</v>
      </c>
      <c r="L464" s="6" t="s">
        <v>66</v>
      </c>
      <c r="M464" s="5"/>
      <c r="N464" s="5" t="s">
        <v>148</v>
      </c>
      <c r="O464" s="45" t="str">
        <f>_xlfn.XLOOKUP(TAB.IDEIAS.TOTAL[[#This Row],[Enviado por]],'BASE DMOS'!A:A,'BASE DMOS'!C:C,"Não encontrado")</f>
        <v>OPERAÇÃO</v>
      </c>
    </row>
    <row r="465" spans="1:16" ht="29" x14ac:dyDescent="0.35">
      <c r="A465" s="6" t="s">
        <v>1548</v>
      </c>
      <c r="B465" s="6" t="s">
        <v>1549</v>
      </c>
      <c r="C465" s="6" t="s">
        <v>15</v>
      </c>
      <c r="D465" s="6" t="s">
        <v>1550</v>
      </c>
      <c r="E465" s="6" t="s">
        <v>23</v>
      </c>
      <c r="F465" s="6" t="s">
        <v>17</v>
      </c>
      <c r="G465" s="6" t="s">
        <v>30</v>
      </c>
      <c r="H465" s="5">
        <v>46085.049525462964</v>
      </c>
      <c r="I465" s="6" t="s">
        <v>25</v>
      </c>
      <c r="J465" s="5">
        <v>46097.634502314817</v>
      </c>
      <c r="L465" s="6" t="s">
        <v>26</v>
      </c>
      <c r="M465" s="5">
        <v>46097.634502314817</v>
      </c>
      <c r="N465" s="5" t="s">
        <v>15</v>
      </c>
      <c r="O465" s="45" t="str">
        <f>_xlfn.XLOOKUP(TAB.IDEIAS.TOTAL[[#This Row],[Enviado por]],'BASE DMOS'!A:A,'BASE DMOS'!C:C,"Não encontrado")</f>
        <v>OPERAÇÃO</v>
      </c>
    </row>
    <row r="466" spans="1:16" ht="29" x14ac:dyDescent="0.35">
      <c r="A466" s="6" t="s">
        <v>1551</v>
      </c>
      <c r="B466" s="6" t="s">
        <v>1552</v>
      </c>
      <c r="C466" s="6" t="s">
        <v>148</v>
      </c>
      <c r="D466" s="6" t="s">
        <v>1553</v>
      </c>
      <c r="E466" s="6" t="s">
        <v>117</v>
      </c>
      <c r="F466" s="6" t="s">
        <v>17</v>
      </c>
      <c r="G466" s="6" t="s">
        <v>18</v>
      </c>
      <c r="H466" s="5">
        <v>46086.577789351853</v>
      </c>
      <c r="I466" s="6" t="s">
        <v>98</v>
      </c>
      <c r="J466" s="5">
        <v>46209.434606481482</v>
      </c>
      <c r="L466" s="6" t="s">
        <v>66</v>
      </c>
      <c r="M466" s="5"/>
      <c r="N466" s="5" t="s">
        <v>148</v>
      </c>
      <c r="O466" s="45" t="str">
        <f>_xlfn.XLOOKUP(TAB.IDEIAS.TOTAL[[#This Row],[Enviado por]],'BASE DMOS'!A:A,'BASE DMOS'!C:C,"Não encontrado")</f>
        <v>ADM/TÉCNICO/ASSISTENTE/ESTAG.</v>
      </c>
    </row>
    <row r="467" spans="1:16" ht="29" x14ac:dyDescent="0.35">
      <c r="A467" s="6" t="s">
        <v>1554</v>
      </c>
      <c r="B467" s="6" t="s">
        <v>1555</v>
      </c>
      <c r="C467" s="6" t="s">
        <v>148</v>
      </c>
      <c r="D467" s="6" t="s">
        <v>1556</v>
      </c>
      <c r="E467" s="6" t="s">
        <v>23</v>
      </c>
      <c r="F467" s="6" t="s">
        <v>17</v>
      </c>
      <c r="G467" s="6" t="s">
        <v>124</v>
      </c>
      <c r="H467" s="5">
        <v>46087.087766203702</v>
      </c>
      <c r="I467" s="6" t="s">
        <v>25</v>
      </c>
      <c r="J467" s="5">
        <v>46114.479629629626</v>
      </c>
      <c r="L467" s="6" t="s">
        <v>26</v>
      </c>
      <c r="M467" s="5"/>
      <c r="N467" s="5" t="s">
        <v>148</v>
      </c>
      <c r="O467" s="45" t="str">
        <f>_xlfn.XLOOKUP(TAB.IDEIAS.TOTAL[[#This Row],[Enviado por]],'BASE DMOS'!A:A,'BASE DMOS'!C:C,"Não encontrado")</f>
        <v>OPERAÇÃO</v>
      </c>
    </row>
    <row r="468" spans="1:16" ht="58" x14ac:dyDescent="0.35">
      <c r="A468" s="6" t="s">
        <v>1557</v>
      </c>
      <c r="B468" s="6" t="s">
        <v>1558</v>
      </c>
      <c r="C468" s="6" t="s">
        <v>15</v>
      </c>
      <c r="D468" s="6" t="s">
        <v>1559</v>
      </c>
      <c r="E468" s="6" t="s">
        <v>299</v>
      </c>
      <c r="F468" s="6" t="s">
        <v>17</v>
      </c>
      <c r="G468" s="6" t="s">
        <v>30</v>
      </c>
      <c r="H468" s="5">
        <v>46087.163368055553</v>
      </c>
      <c r="I468" s="6" t="s">
        <v>19</v>
      </c>
      <c r="J468" s="5">
        <v>46153.497673611113</v>
      </c>
      <c r="L468" s="6" t="s">
        <v>20</v>
      </c>
      <c r="M468" s="5">
        <v>46153.497673611113</v>
      </c>
      <c r="N468" s="5" t="s">
        <v>15</v>
      </c>
      <c r="O468" s="45" t="str">
        <f>_xlfn.XLOOKUP(TAB.IDEIAS.TOTAL[[#This Row],[Enviado por]],'BASE DMOS'!A:A,'BASE DMOS'!C:C,"Não encontrado")</f>
        <v>OPERAÇÃO</v>
      </c>
    </row>
    <row r="469" spans="1:16" ht="29" x14ac:dyDescent="0.35">
      <c r="A469" s="6" t="s">
        <v>1560</v>
      </c>
      <c r="B469" s="6" t="s">
        <v>1561</v>
      </c>
      <c r="C469" s="6" t="s">
        <v>15</v>
      </c>
      <c r="D469" s="6" t="s">
        <v>1562</v>
      </c>
      <c r="E469" s="6" t="s">
        <v>23</v>
      </c>
      <c r="F469" s="6" t="s">
        <v>17</v>
      </c>
      <c r="G469" s="6" t="s">
        <v>30</v>
      </c>
      <c r="H469" s="5">
        <v>46088.054120370369</v>
      </c>
      <c r="I469" s="6" t="s">
        <v>25</v>
      </c>
      <c r="J469" s="5">
        <v>46094.704756944448</v>
      </c>
      <c r="L469" s="6" t="s">
        <v>26</v>
      </c>
      <c r="M469" s="5">
        <v>46094.704756944448</v>
      </c>
      <c r="N469" s="5" t="s">
        <v>15</v>
      </c>
      <c r="O469" s="45" t="str">
        <f>_xlfn.XLOOKUP(TAB.IDEIAS.TOTAL[[#This Row],[Enviado por]],'BASE DMOS'!A:A,'BASE DMOS'!C:C,"Não encontrado")</f>
        <v>OPERAÇÃO</v>
      </c>
    </row>
    <row r="470" spans="1:16" ht="72.5" x14ac:dyDescent="0.35">
      <c r="A470" s="6" t="s">
        <v>1563</v>
      </c>
      <c r="B470" s="6" t="s">
        <v>1564</v>
      </c>
      <c r="C470" s="6" t="s">
        <v>148</v>
      </c>
      <c r="D470" s="6" t="s">
        <v>1565</v>
      </c>
      <c r="E470" s="6" t="s">
        <v>85</v>
      </c>
      <c r="F470" s="6" t="s">
        <v>17</v>
      </c>
      <c r="G470" s="6" t="s">
        <v>2390</v>
      </c>
      <c r="H470" s="5">
        <v>46093.493796296294</v>
      </c>
      <c r="I470" s="6" t="s">
        <v>31</v>
      </c>
      <c r="J470" s="5">
        <v>46206.405775462961</v>
      </c>
      <c r="L470" s="6" t="s">
        <v>66</v>
      </c>
      <c r="M470" s="5"/>
      <c r="N470" s="5" t="s">
        <v>148</v>
      </c>
      <c r="O470" s="45" t="str">
        <f>_xlfn.XLOOKUP(TAB.IDEIAS.TOTAL[[#This Row],[Enviado por]],'BASE DMOS'!A:A,'BASE DMOS'!C:C,"Não encontrado")</f>
        <v>ADM/TÉCNICO/ASSISTENTE/ESTAG.</v>
      </c>
    </row>
    <row r="471" spans="1:16" ht="29" x14ac:dyDescent="0.35">
      <c r="A471" s="6" t="s">
        <v>1566</v>
      </c>
      <c r="B471" s="6" t="s">
        <v>1567</v>
      </c>
      <c r="C471" s="6" t="s">
        <v>148</v>
      </c>
      <c r="D471" s="6" t="s">
        <v>1568</v>
      </c>
      <c r="E471" s="6" t="s">
        <v>127</v>
      </c>
      <c r="F471" s="6" t="s">
        <v>17</v>
      </c>
      <c r="G471" s="6" t="s">
        <v>61</v>
      </c>
      <c r="H471" s="5">
        <v>46102.818599537037</v>
      </c>
      <c r="I471" s="6" t="s">
        <v>695</v>
      </c>
      <c r="J471" s="5">
        <v>46104.486724537041</v>
      </c>
      <c r="K471" s="6" t="s">
        <v>97</v>
      </c>
      <c r="L471" s="6" t="s">
        <v>273</v>
      </c>
      <c r="M471" s="5"/>
      <c r="N471" s="5" t="s">
        <v>148</v>
      </c>
      <c r="O471" s="45" t="str">
        <f>_xlfn.XLOOKUP(TAB.IDEIAS.TOTAL[[#This Row],[Enviado por]],'BASE DMOS'!A:A,'BASE DMOS'!C:C,"Não encontrado")</f>
        <v>ADM/TÉCNICO/ASSISTENTE/ESTAG.</v>
      </c>
    </row>
    <row r="472" spans="1:16" ht="29" x14ac:dyDescent="0.35">
      <c r="A472" s="6" t="s">
        <v>1569</v>
      </c>
      <c r="B472" s="6" t="s">
        <v>1570</v>
      </c>
      <c r="C472" s="6" t="s">
        <v>148</v>
      </c>
      <c r="D472" s="6" t="s">
        <v>1571</v>
      </c>
      <c r="E472" s="6" t="s">
        <v>108</v>
      </c>
      <c r="F472" s="6" t="s">
        <v>17</v>
      </c>
      <c r="G472" s="6" t="s">
        <v>61</v>
      </c>
      <c r="H472" s="5">
        <v>46104.528067129628</v>
      </c>
      <c r="I472" s="6" t="s">
        <v>98</v>
      </c>
      <c r="J472" s="5">
        <v>46232.658020833333</v>
      </c>
      <c r="K472" s="6" t="s">
        <v>97</v>
      </c>
      <c r="L472" s="6" t="s">
        <v>66</v>
      </c>
      <c r="M472" s="5"/>
      <c r="N472" s="5" t="s">
        <v>148</v>
      </c>
      <c r="O472" s="45" t="str">
        <f>_xlfn.XLOOKUP(TAB.IDEIAS.TOTAL[[#This Row],[Enviado por]],'BASE DMOS'!A:A,'BASE DMOS'!C:C,"Não encontrado")</f>
        <v>ADM/TÉCNICO/ASSISTENTE/ESTAG.</v>
      </c>
    </row>
    <row r="473" spans="1:16" ht="29" x14ac:dyDescent="0.35">
      <c r="A473" s="6" t="s">
        <v>1572</v>
      </c>
      <c r="B473" s="6" t="s">
        <v>1573</v>
      </c>
      <c r="C473" s="6" t="s">
        <v>184</v>
      </c>
      <c r="D473" s="6" t="s">
        <v>1574</v>
      </c>
      <c r="E473" s="6" t="s">
        <v>108</v>
      </c>
      <c r="F473" s="6" t="s">
        <v>17</v>
      </c>
      <c r="G473" s="6" t="s">
        <v>61</v>
      </c>
      <c r="H473" s="5">
        <v>46104.529965277776</v>
      </c>
      <c r="I473" s="6" t="s">
        <v>98</v>
      </c>
      <c r="J473" s="5">
        <v>46104.530775462961</v>
      </c>
      <c r="K473" s="6" t="s">
        <v>97</v>
      </c>
      <c r="L473" s="6" t="s">
        <v>273</v>
      </c>
      <c r="M473" s="5"/>
      <c r="N473" s="43" t="s">
        <v>392</v>
      </c>
      <c r="O473" s="45" t="str">
        <f>_xlfn.XLOOKUP(TAB.IDEIAS.TOTAL[[#This Row],[Enviado por]],'BASE DMOS'!A:A,'BASE DMOS'!C:C,"Não encontrado")</f>
        <v>ADM/TÉCNICO/ASSISTENTE/ESTAG.</v>
      </c>
    </row>
    <row r="474" spans="1:16" ht="130.5" x14ac:dyDescent="0.35">
      <c r="A474" s="6" t="s">
        <v>95</v>
      </c>
      <c r="B474" s="6" t="s">
        <v>96</v>
      </c>
      <c r="C474" s="6" t="s">
        <v>148</v>
      </c>
      <c r="D474" s="6" t="s">
        <v>1575</v>
      </c>
      <c r="E474" s="6" t="s">
        <v>97</v>
      </c>
      <c r="F474" s="6" t="s">
        <v>17</v>
      </c>
      <c r="G474" s="6" t="s">
        <v>18</v>
      </c>
      <c r="H474" s="5">
        <v>46107.547326388885</v>
      </c>
      <c r="I474" s="6" t="s">
        <v>98</v>
      </c>
      <c r="J474" s="5">
        <v>46205.597175925926</v>
      </c>
      <c r="K474" s="6" t="s">
        <v>99</v>
      </c>
      <c r="L474" s="6" t="s">
        <v>66</v>
      </c>
      <c r="M474" s="5"/>
      <c r="N474" s="5" t="s">
        <v>148</v>
      </c>
      <c r="O474" s="45" t="str">
        <f>_xlfn.XLOOKUP(TAB.IDEIAS.TOTAL[[#This Row],[Enviado por]],'BASE DMOS'!A:A,'BASE DMOS'!C:C,"Não encontrado")</f>
        <v>ADM/TÉCNICO/ASSISTENTE/ESTAG.</v>
      </c>
    </row>
    <row r="475" spans="1:16" ht="43.5" x14ac:dyDescent="0.35">
      <c r="A475" s="6" t="s">
        <v>1576</v>
      </c>
      <c r="B475" s="6" t="s">
        <v>1577</v>
      </c>
      <c r="C475" s="6" t="s">
        <v>184</v>
      </c>
      <c r="D475" s="6" t="s">
        <v>1578</v>
      </c>
      <c r="E475" s="6" t="s">
        <v>1189</v>
      </c>
      <c r="F475" s="6" t="s">
        <v>17</v>
      </c>
      <c r="G475" s="6" t="s">
        <v>24</v>
      </c>
      <c r="H475" s="5">
        <v>46107.702233796299</v>
      </c>
      <c r="I475" s="6" t="s">
        <v>86</v>
      </c>
      <c r="J475" s="5">
        <v>46149.375520833331</v>
      </c>
      <c r="K475" s="6" t="s">
        <v>445</v>
      </c>
      <c r="L475" s="6" t="s">
        <v>87</v>
      </c>
      <c r="M475" s="5"/>
      <c r="N475" s="14" t="s">
        <v>215</v>
      </c>
      <c r="O475" s="45" t="str">
        <f>_xlfn.XLOOKUP(TAB.IDEIAS.TOTAL[[#This Row],[Enviado por]],'BASE DMOS'!A:A,'BASE DMOS'!C:C,"Não encontrado")</f>
        <v>OPERAÇÃO</v>
      </c>
    </row>
    <row r="476" spans="1:16" ht="101.5" x14ac:dyDescent="0.35">
      <c r="A476" s="6" t="s">
        <v>1579</v>
      </c>
      <c r="B476" s="6" t="s">
        <v>1580</v>
      </c>
      <c r="C476" s="6" t="s">
        <v>184</v>
      </c>
      <c r="D476" s="6" t="s">
        <v>1581</v>
      </c>
      <c r="E476" s="6" t="s">
        <v>498</v>
      </c>
      <c r="F476" s="6" t="s">
        <v>17</v>
      </c>
      <c r="G476" s="6" t="s">
        <v>30</v>
      </c>
      <c r="H476" s="5">
        <v>46108.634120370371</v>
      </c>
      <c r="I476" s="6" t="s">
        <v>50</v>
      </c>
      <c r="J476" s="5">
        <v>46203.498194444444</v>
      </c>
      <c r="K476" s="6" t="s">
        <v>82</v>
      </c>
      <c r="L476" s="6" t="s">
        <v>66</v>
      </c>
      <c r="M476" s="5"/>
      <c r="N476" s="14" t="s">
        <v>215</v>
      </c>
      <c r="O476" s="45" t="str">
        <f>_xlfn.XLOOKUP(TAB.IDEIAS.TOTAL[[#This Row],[Enviado por]],'BASE DMOS'!A:A,'BASE DMOS'!C:C,"Não encontrado")</f>
        <v>ADM/TÉCNICO/ASSISTENTE/ESTAG.</v>
      </c>
      <c r="P476" t="s">
        <v>1582</v>
      </c>
    </row>
    <row r="477" spans="1:16" ht="43.5" x14ac:dyDescent="0.35">
      <c r="A477" s="6" t="s">
        <v>1583</v>
      </c>
      <c r="B477" s="6" t="s">
        <v>1584</v>
      </c>
      <c r="C477" s="6" t="s">
        <v>861</v>
      </c>
      <c r="D477" s="6" t="s">
        <v>1585</v>
      </c>
      <c r="E477" s="6" t="s">
        <v>498</v>
      </c>
      <c r="F477" s="6" t="s">
        <v>17</v>
      </c>
      <c r="G477" s="6" t="s">
        <v>602</v>
      </c>
      <c r="H477" s="5">
        <v>46108.636689814812</v>
      </c>
      <c r="I477" s="6" t="s">
        <v>31</v>
      </c>
      <c r="J477" s="5">
        <v>46205.597766203704</v>
      </c>
      <c r="L477" s="6" t="s">
        <v>66</v>
      </c>
      <c r="M477" s="5"/>
      <c r="N477" s="5" t="s">
        <v>861</v>
      </c>
      <c r="O477" s="45" t="str">
        <f>_xlfn.XLOOKUP(TAB.IDEIAS.TOTAL[[#This Row],[Enviado por]],'BASE DMOS'!A:A,'BASE DMOS'!C:C,"Não encontrado")</f>
        <v>ADM/TÉCNICO/ASSISTENTE/ESTAG.</v>
      </c>
    </row>
    <row r="478" spans="1:16" ht="72.5" x14ac:dyDescent="0.35">
      <c r="A478" s="6" t="s">
        <v>1586</v>
      </c>
      <c r="B478" s="6" t="s">
        <v>1587</v>
      </c>
      <c r="C478" s="6" t="s">
        <v>184</v>
      </c>
      <c r="D478" s="6" t="s">
        <v>1588</v>
      </c>
      <c r="E478" s="6" t="s">
        <v>53</v>
      </c>
      <c r="F478" s="6" t="s">
        <v>17</v>
      </c>
      <c r="G478" s="6" t="s">
        <v>24</v>
      </c>
      <c r="H478" s="5">
        <v>46111.478321759256</v>
      </c>
      <c r="I478" s="6" t="s">
        <v>1589</v>
      </c>
      <c r="J478" s="5">
        <v>46150.44809027778</v>
      </c>
      <c r="K478" s="6" t="s">
        <v>445</v>
      </c>
      <c r="L478" s="6" t="s">
        <v>32</v>
      </c>
      <c r="M478" s="5"/>
      <c r="N478" s="43" t="s">
        <v>215</v>
      </c>
      <c r="O478" s="45" t="str">
        <f>_xlfn.XLOOKUP(TAB.IDEIAS.TOTAL[[#This Row],[Enviado por]],'BASE DMOS'!A:A,'BASE DMOS'!C:C,"Não encontrado")</f>
        <v>OPERAÇÃO</v>
      </c>
    </row>
    <row r="479" spans="1:16" ht="43.5" x14ac:dyDescent="0.35">
      <c r="A479" s="6" t="s">
        <v>1590</v>
      </c>
      <c r="B479" s="6" t="s">
        <v>1591</v>
      </c>
      <c r="C479" s="6" t="s">
        <v>148</v>
      </c>
      <c r="D479" s="6" t="s">
        <v>1592</v>
      </c>
      <c r="E479" s="6" t="s">
        <v>53</v>
      </c>
      <c r="F479" s="6" t="s">
        <v>17</v>
      </c>
      <c r="G479" s="6" t="s">
        <v>30</v>
      </c>
      <c r="H479" s="5">
        <v>46111.578356481485</v>
      </c>
      <c r="I479" s="6" t="s">
        <v>36</v>
      </c>
      <c r="J479" s="5">
        <v>46286.433206018519</v>
      </c>
      <c r="K479" s="6" t="s">
        <v>82</v>
      </c>
      <c r="L479" s="6" t="s">
        <v>66</v>
      </c>
      <c r="M479" s="5"/>
      <c r="N479" s="43" t="s">
        <v>148</v>
      </c>
      <c r="O479" s="45" t="str">
        <f>_xlfn.XLOOKUP(TAB.IDEIAS.TOTAL[[#This Row],[Enviado por]],'BASE DMOS'!A:A,'BASE DMOS'!C:C,"Não encontrado")</f>
        <v>OPERAÇÃO</v>
      </c>
    </row>
    <row r="480" spans="1:16" ht="246.5" x14ac:dyDescent="0.35">
      <c r="A480" s="6" t="s">
        <v>1593</v>
      </c>
      <c r="B480" s="6" t="s">
        <v>1594</v>
      </c>
      <c r="C480" s="6" t="s">
        <v>184</v>
      </c>
      <c r="D480" s="6" t="s">
        <v>1595</v>
      </c>
      <c r="E480" s="6" t="s">
        <v>69</v>
      </c>
      <c r="F480" s="6" t="s">
        <v>17</v>
      </c>
      <c r="G480" s="6" t="s">
        <v>18</v>
      </c>
      <c r="H480" s="5">
        <v>46112.406550925924</v>
      </c>
      <c r="I480" s="6" t="s">
        <v>1596</v>
      </c>
      <c r="J480" s="5">
        <v>46132.754178240742</v>
      </c>
      <c r="K480" s="6" t="s">
        <v>69</v>
      </c>
      <c r="L480" s="6" t="s">
        <v>32</v>
      </c>
      <c r="M480" s="5"/>
      <c r="N480" s="14" t="s">
        <v>215</v>
      </c>
      <c r="O480" s="45" t="str">
        <f>_xlfn.XLOOKUP(TAB.IDEIAS.TOTAL[[#This Row],[Enviado por]],'BASE DMOS'!A:A,'BASE DMOS'!C:C,"Não encontrado")</f>
        <v>ADM/TÉCNICO/ASSISTENTE/ESTAG.</v>
      </c>
    </row>
    <row r="481" spans="1:15" ht="29" x14ac:dyDescent="0.35">
      <c r="A481" s="6" t="s">
        <v>1597</v>
      </c>
      <c r="B481" s="6" t="s">
        <v>1598</v>
      </c>
      <c r="C481" s="6" t="s">
        <v>184</v>
      </c>
      <c r="D481" s="6" t="s">
        <v>1599</v>
      </c>
      <c r="E481" s="6" t="s">
        <v>1535</v>
      </c>
      <c r="F481" s="6" t="s">
        <v>17</v>
      </c>
      <c r="G481" s="6" t="s">
        <v>54</v>
      </c>
      <c r="H481" s="5">
        <v>46114.759212962963</v>
      </c>
      <c r="I481" s="6" t="s">
        <v>332</v>
      </c>
      <c r="J481" s="5">
        <v>46132.769166666665</v>
      </c>
      <c r="K481" s="6" t="s">
        <v>1600</v>
      </c>
      <c r="L481" s="6" t="s">
        <v>66</v>
      </c>
      <c r="M481" s="5"/>
      <c r="N481" s="43" t="s">
        <v>186</v>
      </c>
      <c r="O481" s="45" t="str">
        <f>_xlfn.XLOOKUP(TAB.IDEIAS.TOTAL[[#This Row],[Enviado por]],'BASE DMOS'!A:A,'BASE DMOS'!C:C,"Não encontrado")</f>
        <v>OPERAÇÃO</v>
      </c>
    </row>
    <row r="482" spans="1:15" ht="29" x14ac:dyDescent="0.35">
      <c r="A482" s="6" t="s">
        <v>1601</v>
      </c>
      <c r="B482" s="6" t="s">
        <v>1602</v>
      </c>
      <c r="C482" s="6" t="s">
        <v>15</v>
      </c>
      <c r="D482" s="6" t="s">
        <v>1603</v>
      </c>
      <c r="E482" s="6" t="s">
        <v>1535</v>
      </c>
      <c r="F482" s="6" t="s">
        <v>17</v>
      </c>
      <c r="G482" s="6" t="s">
        <v>124</v>
      </c>
      <c r="H482" s="5">
        <v>46114.762303240743</v>
      </c>
      <c r="I482" s="6" t="s">
        <v>332</v>
      </c>
      <c r="J482" s="5">
        <v>46153.499421296299</v>
      </c>
      <c r="L482" s="6" t="s">
        <v>66</v>
      </c>
      <c r="M482" s="5">
        <v>46153.499421296299</v>
      </c>
      <c r="N482" s="5" t="s">
        <v>15</v>
      </c>
      <c r="O482" s="45" t="str">
        <f>_xlfn.XLOOKUP(TAB.IDEIAS.TOTAL[[#This Row],[Enviado por]],'BASE DMOS'!A:A,'BASE DMOS'!C:C,"Não encontrado")</f>
        <v>OPERAÇÃO</v>
      </c>
    </row>
    <row r="483" spans="1:15" ht="101.5" x14ac:dyDescent="0.35">
      <c r="A483" s="6" t="s">
        <v>1604</v>
      </c>
      <c r="B483" s="6" t="s">
        <v>1605</v>
      </c>
      <c r="C483" s="6" t="s">
        <v>184</v>
      </c>
      <c r="D483" s="6" t="s">
        <v>1606</v>
      </c>
      <c r="E483" s="6" t="s">
        <v>85</v>
      </c>
      <c r="F483" s="6" t="s">
        <v>17</v>
      </c>
      <c r="G483" s="6" t="s">
        <v>18</v>
      </c>
      <c r="H483" s="5">
        <v>46121.336122685185</v>
      </c>
      <c r="I483" s="6" t="s">
        <v>86</v>
      </c>
      <c r="J483" s="5">
        <v>46150.59107638889</v>
      </c>
      <c r="K483" s="6" t="s">
        <v>688</v>
      </c>
      <c r="L483" s="6" t="s">
        <v>87</v>
      </c>
      <c r="M483" s="5"/>
      <c r="N483" s="43" t="s">
        <v>374</v>
      </c>
      <c r="O483" s="45" t="str">
        <f>_xlfn.XLOOKUP(TAB.IDEIAS.TOTAL[[#This Row],[Enviado por]],'BASE DMOS'!A:A,'BASE DMOS'!C:C,"Não encontrado")</f>
        <v>ADM/TÉCNICO/ASSISTENTE/ESTAG.</v>
      </c>
    </row>
    <row r="484" spans="1:15" ht="29" x14ac:dyDescent="0.35">
      <c r="A484" s="6" t="s">
        <v>1607</v>
      </c>
      <c r="B484" s="6" t="s">
        <v>1608</v>
      </c>
      <c r="C484" s="6" t="s">
        <v>148</v>
      </c>
      <c r="D484" s="6" t="s">
        <v>1609</v>
      </c>
      <c r="E484" s="6" t="s">
        <v>64</v>
      </c>
      <c r="F484" s="6" t="s">
        <v>17</v>
      </c>
      <c r="G484" s="6" t="s">
        <v>30</v>
      </c>
      <c r="H484" s="5">
        <v>46121.950937499998</v>
      </c>
      <c r="I484" s="6" t="s">
        <v>50</v>
      </c>
      <c r="J484" s="5">
        <v>46182.62940972222</v>
      </c>
      <c r="K484" s="6" t="s">
        <v>58</v>
      </c>
      <c r="L484" s="6" t="s">
        <v>66</v>
      </c>
      <c r="M484" s="5"/>
      <c r="N484" s="5" t="s">
        <v>148</v>
      </c>
      <c r="O484" s="45" t="str">
        <f>_xlfn.XLOOKUP(TAB.IDEIAS.TOTAL[[#This Row],[Enviado por]],'BASE DMOS'!A:A,'BASE DMOS'!C:C,"Não encontrado")</f>
        <v>OPERAÇÃO</v>
      </c>
    </row>
    <row r="485" spans="1:15" ht="232" x14ac:dyDescent="0.35">
      <c r="A485" s="6" t="s">
        <v>1610</v>
      </c>
      <c r="B485" s="6" t="s">
        <v>1611</v>
      </c>
      <c r="C485" s="6" t="s">
        <v>861</v>
      </c>
      <c r="D485" s="6" t="s">
        <v>1612</v>
      </c>
      <c r="E485" s="6" t="s">
        <v>498</v>
      </c>
      <c r="F485" s="6" t="s">
        <v>112</v>
      </c>
      <c r="G485" s="6" t="s">
        <v>61</v>
      </c>
      <c r="H485" s="5">
        <v>46122.416585648149</v>
      </c>
      <c r="I485" s="6" t="s">
        <v>98</v>
      </c>
      <c r="J485" s="5">
        <v>46205.59814814815</v>
      </c>
      <c r="L485" s="6" t="s">
        <v>66</v>
      </c>
      <c r="M485" s="5"/>
      <c r="N485" s="5" t="s">
        <v>861</v>
      </c>
      <c r="O485" s="45" t="str">
        <f>_xlfn.XLOOKUP(TAB.IDEIAS.TOTAL[[#This Row],[Enviado por]],'BASE DMOS'!A:A,'BASE DMOS'!C:C,"Não encontrado")</f>
        <v>ADM/TÉCNICO/ASSISTENTE/ESTAG.</v>
      </c>
    </row>
    <row r="486" spans="1:15" ht="72.5" x14ac:dyDescent="0.35">
      <c r="A486" s="6" t="s">
        <v>1613</v>
      </c>
      <c r="B486" s="6" t="s">
        <v>1614</v>
      </c>
      <c r="C486" s="6" t="s">
        <v>148</v>
      </c>
      <c r="D486" s="6" t="s">
        <v>1615</v>
      </c>
      <c r="E486" s="6" t="s">
        <v>1616</v>
      </c>
      <c r="F486" s="6" t="s">
        <v>17</v>
      </c>
      <c r="G486" s="6" t="s">
        <v>18</v>
      </c>
      <c r="H486" s="5">
        <v>46123.43886574074</v>
      </c>
      <c r="I486" s="6" t="s">
        <v>50</v>
      </c>
      <c r="J486" s="5">
        <v>46182.629884259259</v>
      </c>
      <c r="K486" s="6" t="s">
        <v>117</v>
      </c>
      <c r="L486" s="6" t="s">
        <v>66</v>
      </c>
      <c r="M486" s="5"/>
      <c r="N486" s="5" t="s">
        <v>148</v>
      </c>
      <c r="O486" s="45" t="str">
        <f>_xlfn.XLOOKUP(TAB.IDEIAS.TOTAL[[#This Row],[Enviado por]],'BASE DMOS'!A:A,'BASE DMOS'!C:C,"Não encontrado")</f>
        <v>OPERAÇÃO</v>
      </c>
    </row>
    <row r="487" spans="1:15" ht="101.5" x14ac:dyDescent="0.35">
      <c r="A487" s="6" t="s">
        <v>1617</v>
      </c>
      <c r="B487" s="6" t="s">
        <v>1618</v>
      </c>
      <c r="C487" s="6" t="s">
        <v>184</v>
      </c>
      <c r="D487" s="6" t="s">
        <v>1619</v>
      </c>
      <c r="E487" s="6" t="s">
        <v>1620</v>
      </c>
      <c r="F487" s="6" t="s">
        <v>17</v>
      </c>
      <c r="G487" s="6" t="s">
        <v>30</v>
      </c>
      <c r="H487" s="5">
        <v>46123.443379629629</v>
      </c>
      <c r="I487" s="6" t="s">
        <v>50</v>
      </c>
      <c r="J487" s="5">
        <v>46132.756967592592</v>
      </c>
      <c r="K487" s="6" t="s">
        <v>117</v>
      </c>
      <c r="L487" s="6" t="s">
        <v>66</v>
      </c>
      <c r="M487" s="5"/>
      <c r="N487" s="43" t="s">
        <v>374</v>
      </c>
      <c r="O487" s="45" t="str">
        <f>_xlfn.XLOOKUP(TAB.IDEIAS.TOTAL[[#This Row],[Enviado por]],'BASE DMOS'!A:A,'BASE DMOS'!C:C,"Não encontrado")</f>
        <v>OPERAÇÃO</v>
      </c>
    </row>
    <row r="488" spans="1:15" ht="43.5" x14ac:dyDescent="0.35">
      <c r="A488" s="6" t="s">
        <v>1621</v>
      </c>
      <c r="B488" s="6" t="s">
        <v>1622</v>
      </c>
      <c r="C488" s="6" t="s">
        <v>184</v>
      </c>
      <c r="D488" s="6" t="s">
        <v>1623</v>
      </c>
      <c r="E488" s="6" t="s">
        <v>277</v>
      </c>
      <c r="F488" s="6" t="s">
        <v>17</v>
      </c>
      <c r="G488" s="6" t="s">
        <v>54</v>
      </c>
      <c r="H488" s="5">
        <v>46125.177453703705</v>
      </c>
      <c r="I488" s="6" t="s">
        <v>242</v>
      </c>
      <c r="J488" s="5">
        <v>46189.804675925923</v>
      </c>
      <c r="K488" s="6" t="s">
        <v>90</v>
      </c>
      <c r="L488" s="6" t="s">
        <v>32</v>
      </c>
      <c r="M488" s="5"/>
      <c r="N488" s="43" t="s">
        <v>392</v>
      </c>
      <c r="O488" s="45" t="str">
        <f>_xlfn.XLOOKUP(TAB.IDEIAS.TOTAL[[#This Row],[Enviado por]],'BASE DMOS'!A:A,'BASE DMOS'!C:C,"Não encontrado")</f>
        <v>OPERAÇÃO</v>
      </c>
    </row>
    <row r="489" spans="1:15" ht="58" x14ac:dyDescent="0.35">
      <c r="A489" s="6" t="s">
        <v>1624</v>
      </c>
      <c r="B489" s="6" t="s">
        <v>1625</v>
      </c>
      <c r="C489" s="6" t="s">
        <v>184</v>
      </c>
      <c r="D489" s="6" t="s">
        <v>1626</v>
      </c>
      <c r="E489" s="6" t="s">
        <v>108</v>
      </c>
      <c r="F489" s="6" t="s">
        <v>17</v>
      </c>
      <c r="G489" s="6" t="s">
        <v>18</v>
      </c>
      <c r="H489" s="5">
        <v>46126.669629629629</v>
      </c>
      <c r="I489" s="6" t="s">
        <v>98</v>
      </c>
      <c r="J489" s="5">
        <v>46282.589143518519</v>
      </c>
      <c r="K489" s="6" t="s">
        <v>688</v>
      </c>
      <c r="L489" s="6" t="s">
        <v>66</v>
      </c>
      <c r="M489" s="5"/>
      <c r="N489" s="43" t="s">
        <v>392</v>
      </c>
      <c r="O489" s="45" t="str">
        <f>_xlfn.XLOOKUP(TAB.IDEIAS.TOTAL[[#This Row],[Enviado por]],'BASE DMOS'!A:A,'BASE DMOS'!C:C,"Não encontrado")</f>
        <v>ADM/TÉCNICO/ASSISTENTE/ESTAG.</v>
      </c>
    </row>
    <row r="490" spans="1:15" ht="29" x14ac:dyDescent="0.35">
      <c r="A490" s="6" t="s">
        <v>1627</v>
      </c>
      <c r="B490" s="6" t="s">
        <v>1628</v>
      </c>
      <c r="C490" s="6" t="s">
        <v>15</v>
      </c>
      <c r="D490" s="6" t="s">
        <v>1629</v>
      </c>
      <c r="E490" s="6" t="s">
        <v>1189</v>
      </c>
      <c r="F490" s="6" t="s">
        <v>17</v>
      </c>
      <c r="G490" s="6" t="s">
        <v>18</v>
      </c>
      <c r="H490" s="5">
        <v>46128.906736111108</v>
      </c>
      <c r="I490" s="6" t="s">
        <v>25</v>
      </c>
      <c r="J490" s="5">
        <v>46146.450925925928</v>
      </c>
      <c r="L490" s="6" t="s">
        <v>26</v>
      </c>
      <c r="M490" s="5">
        <v>46146.450925925928</v>
      </c>
      <c r="N490" s="5" t="s">
        <v>15</v>
      </c>
      <c r="O490" s="45" t="str">
        <f>_xlfn.XLOOKUP(TAB.IDEIAS.TOTAL[[#This Row],[Enviado por]],'BASE DMOS'!A:A,'BASE DMOS'!C:C,"Não encontrado")</f>
        <v>OPERAÇÃO</v>
      </c>
    </row>
    <row r="491" spans="1:15" ht="72.5" x14ac:dyDescent="0.35">
      <c r="A491" s="6" t="s">
        <v>1630</v>
      </c>
      <c r="B491" s="6" t="s">
        <v>1631</v>
      </c>
      <c r="C491" s="6" t="s">
        <v>15</v>
      </c>
      <c r="D491" s="6" t="s">
        <v>1632</v>
      </c>
      <c r="E491" s="6" t="s">
        <v>145</v>
      </c>
      <c r="F491" s="6" t="s">
        <v>17</v>
      </c>
      <c r="G491" s="6" t="s">
        <v>30</v>
      </c>
      <c r="H491" s="5">
        <v>46134.396724537037</v>
      </c>
      <c r="I491" s="6" t="s">
        <v>25</v>
      </c>
      <c r="J491" s="5">
        <v>46174.432847222219</v>
      </c>
      <c r="L491" s="6" t="s">
        <v>26</v>
      </c>
      <c r="M491" s="5">
        <v>46174.432847222219</v>
      </c>
      <c r="N491" s="5" t="s">
        <v>15</v>
      </c>
      <c r="O491" s="45" t="str">
        <f>_xlfn.XLOOKUP(TAB.IDEIAS.TOTAL[[#This Row],[Enviado por]],'BASE DMOS'!A:A,'BASE DMOS'!C:C,"Não encontrado")</f>
        <v>OPERAÇÃO</v>
      </c>
    </row>
    <row r="492" spans="1:15" ht="72.5" x14ac:dyDescent="0.35">
      <c r="A492" s="6" t="s">
        <v>1633</v>
      </c>
      <c r="B492" s="6" t="s">
        <v>1634</v>
      </c>
      <c r="C492" s="6" t="s">
        <v>184</v>
      </c>
      <c r="D492" s="6" t="s">
        <v>1635</v>
      </c>
      <c r="E492" s="6" t="s">
        <v>140</v>
      </c>
      <c r="F492" s="6" t="s">
        <v>17</v>
      </c>
      <c r="G492" s="6" t="s">
        <v>18</v>
      </c>
      <c r="H492" s="5">
        <v>46134.551388888889</v>
      </c>
      <c r="I492" s="6" t="s">
        <v>174</v>
      </c>
      <c r="J492" s="5">
        <v>46169.33152777778</v>
      </c>
      <c r="K492" s="6" t="s">
        <v>90</v>
      </c>
      <c r="L492" s="6" t="s">
        <v>66</v>
      </c>
      <c r="M492" s="5"/>
      <c r="N492" s="43" t="s">
        <v>186</v>
      </c>
      <c r="O492" s="45" t="str">
        <f>_xlfn.XLOOKUP(TAB.IDEIAS.TOTAL[[#This Row],[Enviado por]],'BASE DMOS'!A:A,'BASE DMOS'!C:C,"Não encontrado")</f>
        <v>OPERAÇÃO</v>
      </c>
    </row>
    <row r="493" spans="1:15" ht="58" x14ac:dyDescent="0.35">
      <c r="A493" s="6" t="s">
        <v>1636</v>
      </c>
      <c r="B493" s="6" t="s">
        <v>1637</v>
      </c>
      <c r="C493" s="6" t="s">
        <v>148</v>
      </c>
      <c r="D493" s="6" t="s">
        <v>1638</v>
      </c>
      <c r="E493" s="6" t="s">
        <v>117</v>
      </c>
      <c r="F493" s="6" t="s">
        <v>17</v>
      </c>
      <c r="G493" s="6" t="s">
        <v>61</v>
      </c>
      <c r="H493" s="5">
        <v>46135.636817129627</v>
      </c>
      <c r="I493" s="6" t="s">
        <v>50</v>
      </c>
      <c r="J493" s="5">
        <v>46182.634641203702</v>
      </c>
      <c r="L493" s="6" t="s">
        <v>66</v>
      </c>
      <c r="M493" s="5"/>
      <c r="N493" s="5" t="s">
        <v>148</v>
      </c>
      <c r="O493" s="45" t="str">
        <f>_xlfn.XLOOKUP(TAB.IDEIAS.TOTAL[[#This Row],[Enviado por]],'BASE DMOS'!A:A,'BASE DMOS'!C:C,"Não encontrado")</f>
        <v>ADM/TÉCNICO/ASSISTENTE/ESTAG.</v>
      </c>
    </row>
    <row r="494" spans="1:15" ht="72.5" x14ac:dyDescent="0.35">
      <c r="A494" s="6" t="s">
        <v>1639</v>
      </c>
      <c r="B494" s="6" t="s">
        <v>1640</v>
      </c>
      <c r="C494" s="6" t="s">
        <v>15</v>
      </c>
      <c r="D494" s="6" t="s">
        <v>1641</v>
      </c>
      <c r="E494" s="6" t="s">
        <v>1642</v>
      </c>
      <c r="F494" s="6" t="s">
        <v>17</v>
      </c>
      <c r="G494" s="6" t="s">
        <v>18</v>
      </c>
      <c r="H494" s="5">
        <v>46139.434884259259</v>
      </c>
      <c r="I494" s="6" t="s">
        <v>19</v>
      </c>
      <c r="J494" s="5">
        <v>46142.675694444442</v>
      </c>
      <c r="L494" s="6" t="s">
        <v>20</v>
      </c>
      <c r="M494" s="5">
        <v>46142.675694444442</v>
      </c>
      <c r="N494" s="5" t="s">
        <v>15</v>
      </c>
      <c r="O494" s="45" t="str">
        <f>_xlfn.XLOOKUP(TAB.IDEIAS.TOTAL[[#This Row],[Enviado por]],'BASE DMOS'!A:A,'BASE DMOS'!C:C,"Não encontrado")</f>
        <v>ADM/TÉCNICO/ASSISTENTE/ESTAG.</v>
      </c>
    </row>
    <row r="495" spans="1:15" ht="72.5" x14ac:dyDescent="0.35">
      <c r="A495" s="6" t="s">
        <v>1643</v>
      </c>
      <c r="B495" s="6" t="s">
        <v>1644</v>
      </c>
      <c r="C495" s="6" t="s">
        <v>184</v>
      </c>
      <c r="D495" s="6" t="s">
        <v>1645</v>
      </c>
      <c r="E495" s="6" t="s">
        <v>53</v>
      </c>
      <c r="F495" s="6" t="s">
        <v>17</v>
      </c>
      <c r="G495" s="6" t="s">
        <v>54</v>
      </c>
      <c r="H495" s="5">
        <v>46140.199293981481</v>
      </c>
      <c r="I495" s="6" t="s">
        <v>36</v>
      </c>
      <c r="J495" s="5">
        <v>46282.587071759262</v>
      </c>
      <c r="K495" s="6" t="s">
        <v>1646</v>
      </c>
      <c r="L495" s="6" t="s">
        <v>66</v>
      </c>
      <c r="M495" s="5"/>
      <c r="N495" s="43" t="s">
        <v>392</v>
      </c>
      <c r="O495" s="45" t="str">
        <f>_xlfn.XLOOKUP(TAB.IDEIAS.TOTAL[[#This Row],[Enviado por]],'BASE DMOS'!A:A,'BASE DMOS'!C:C,"Não encontrado")</f>
        <v>OPERAÇÃO</v>
      </c>
    </row>
    <row r="496" spans="1:15" ht="43.5" x14ac:dyDescent="0.35">
      <c r="A496" s="6" t="s">
        <v>118</v>
      </c>
      <c r="B496" s="6" t="s">
        <v>119</v>
      </c>
      <c r="C496" s="6" t="s">
        <v>148</v>
      </c>
      <c r="D496" s="6" t="s">
        <v>1647</v>
      </c>
      <c r="E496" s="6" t="s">
        <v>120</v>
      </c>
      <c r="F496" s="6" t="s">
        <v>17</v>
      </c>
      <c r="G496" s="6" t="s">
        <v>61</v>
      </c>
      <c r="H496" s="5">
        <v>46141.310231481482</v>
      </c>
      <c r="I496" s="6" t="s">
        <v>31</v>
      </c>
      <c r="J496" s="5">
        <v>46237.43172453704</v>
      </c>
      <c r="K496" s="6" t="s">
        <v>78</v>
      </c>
      <c r="L496" s="6" t="s">
        <v>66</v>
      </c>
      <c r="M496" s="5"/>
      <c r="N496" s="5" t="s">
        <v>148</v>
      </c>
      <c r="O496" s="45" t="str">
        <f>_xlfn.XLOOKUP(TAB.IDEIAS.TOTAL[[#This Row],[Enviado por]],'BASE DMOS'!A:A,'BASE DMOS'!C:C,"Não encontrado")</f>
        <v>OPERAÇÃO</v>
      </c>
    </row>
    <row r="497" spans="1:15" ht="409.5" x14ac:dyDescent="0.35">
      <c r="A497" s="6" t="s">
        <v>1648</v>
      </c>
      <c r="B497" s="6" t="s">
        <v>1649</v>
      </c>
      <c r="C497" s="6" t="s">
        <v>15</v>
      </c>
      <c r="D497" s="6" t="s">
        <v>1650</v>
      </c>
      <c r="E497" s="6" t="s">
        <v>1651</v>
      </c>
      <c r="F497" s="6" t="s">
        <v>17</v>
      </c>
      <c r="G497" s="6" t="s">
        <v>24</v>
      </c>
      <c r="H497" s="5">
        <v>46141.563564814816</v>
      </c>
      <c r="I497" s="6" t="s">
        <v>86</v>
      </c>
      <c r="J497" s="5">
        <v>46142.581678240742</v>
      </c>
      <c r="L497" s="6" t="s">
        <v>87</v>
      </c>
      <c r="M497" s="5">
        <v>46142.581678240742</v>
      </c>
      <c r="N497" s="5" t="s">
        <v>15</v>
      </c>
      <c r="O497" s="45" t="str">
        <f>_xlfn.XLOOKUP(TAB.IDEIAS.TOTAL[[#This Row],[Enviado por]],'BASE DMOS'!A:A,'BASE DMOS'!C:C,"Não encontrado")</f>
        <v>ADM/TÉCNICO/ASSISTENTE/ESTAG.</v>
      </c>
    </row>
    <row r="498" spans="1:15" ht="43.5" x14ac:dyDescent="0.35">
      <c r="A498" s="6" t="s">
        <v>1652</v>
      </c>
      <c r="B498" s="6" t="s">
        <v>1653</v>
      </c>
      <c r="C498" s="6" t="s">
        <v>184</v>
      </c>
      <c r="D498" s="6" t="s">
        <v>1654</v>
      </c>
      <c r="E498" s="6" t="s">
        <v>117</v>
      </c>
      <c r="F498" s="6" t="s">
        <v>17</v>
      </c>
      <c r="G498" s="6" t="s">
        <v>61</v>
      </c>
      <c r="H498" s="5">
        <v>46146.407696759263</v>
      </c>
      <c r="I498" s="6" t="s">
        <v>50</v>
      </c>
      <c r="J498" s="5">
        <v>46149.380185185182</v>
      </c>
      <c r="L498" s="6" t="s">
        <v>66</v>
      </c>
      <c r="M498" s="5"/>
      <c r="N498" s="43" t="s">
        <v>186</v>
      </c>
      <c r="O498" s="45" t="str">
        <f>_xlfn.XLOOKUP(TAB.IDEIAS.TOTAL[[#This Row],[Enviado por]],'BASE DMOS'!A:A,'BASE DMOS'!C:C,"Não encontrado")</f>
        <v>ADM/TÉCNICO/ASSISTENTE/ESTAG.</v>
      </c>
    </row>
    <row r="499" spans="1:15" ht="72.5" x14ac:dyDescent="0.35">
      <c r="A499" s="6" t="s">
        <v>1655</v>
      </c>
      <c r="B499" s="6" t="s">
        <v>1656</v>
      </c>
      <c r="C499" s="6" t="s">
        <v>861</v>
      </c>
      <c r="D499" s="6" t="s">
        <v>1657</v>
      </c>
      <c r="E499" s="6" t="s">
        <v>85</v>
      </c>
      <c r="F499" s="6" t="s">
        <v>17</v>
      </c>
      <c r="G499" s="6" t="s">
        <v>30</v>
      </c>
      <c r="H499" s="5">
        <v>46148.508206018516</v>
      </c>
      <c r="I499" s="6" t="s">
        <v>242</v>
      </c>
      <c r="J499" s="5">
        <v>46206.488807870373</v>
      </c>
      <c r="L499" s="6" t="s">
        <v>66</v>
      </c>
      <c r="M499" s="5"/>
      <c r="N499" s="5" t="s">
        <v>861</v>
      </c>
      <c r="O499" s="45" t="str">
        <f>_xlfn.XLOOKUP(TAB.IDEIAS.TOTAL[[#This Row],[Enviado por]],'BASE DMOS'!A:A,'BASE DMOS'!C:C,"Não encontrado")</f>
        <v>ADM/TÉCNICO/ASSISTENTE/ESTAG.</v>
      </c>
    </row>
    <row r="500" spans="1:15" ht="72.5" x14ac:dyDescent="0.35">
      <c r="A500" s="6" t="s">
        <v>1658</v>
      </c>
      <c r="B500" s="6" t="s">
        <v>1659</v>
      </c>
      <c r="C500" s="6" t="s">
        <v>861</v>
      </c>
      <c r="D500" s="6" t="s">
        <v>1660</v>
      </c>
      <c r="E500" s="6" t="s">
        <v>85</v>
      </c>
      <c r="F500" s="6" t="s">
        <v>17</v>
      </c>
      <c r="G500" s="6" t="s">
        <v>30</v>
      </c>
      <c r="H500" s="5">
        <v>46148.512615740743</v>
      </c>
      <c r="I500" s="6" t="s">
        <v>1596</v>
      </c>
      <c r="J500" s="5">
        <v>46203.601793981485</v>
      </c>
      <c r="L500" s="6" t="s">
        <v>66</v>
      </c>
      <c r="M500" s="5"/>
      <c r="N500" s="5" t="s">
        <v>861</v>
      </c>
      <c r="O500" s="45" t="str">
        <f>_xlfn.XLOOKUP(TAB.IDEIAS.TOTAL[[#This Row],[Enviado por]],'BASE DMOS'!A:A,'BASE DMOS'!C:C,"Não encontrado")</f>
        <v>ADM/TÉCNICO/ASSISTENTE/ESTAG.</v>
      </c>
    </row>
    <row r="501" spans="1:15" ht="58" x14ac:dyDescent="0.35">
      <c r="A501" s="6" t="s">
        <v>1661</v>
      </c>
      <c r="B501" s="6" t="s">
        <v>1662</v>
      </c>
      <c r="C501" s="6" t="s">
        <v>148</v>
      </c>
      <c r="D501" s="6" t="s">
        <v>1663</v>
      </c>
      <c r="E501" s="6" t="s">
        <v>117</v>
      </c>
      <c r="F501" s="6" t="s">
        <v>17</v>
      </c>
      <c r="G501" s="6" t="s">
        <v>61</v>
      </c>
      <c r="H501" s="5">
        <v>46148.580601851849</v>
      </c>
      <c r="I501" s="6" t="s">
        <v>98</v>
      </c>
      <c r="J501" s="5">
        <v>46206.467418981483</v>
      </c>
      <c r="L501" s="6" t="s">
        <v>66</v>
      </c>
      <c r="M501" s="5"/>
      <c r="N501" s="5" t="s">
        <v>148</v>
      </c>
      <c r="O501" s="45" t="str">
        <f>_xlfn.XLOOKUP(TAB.IDEIAS.TOTAL[[#This Row],[Enviado por]],'BASE DMOS'!A:A,'BASE DMOS'!C:C,"Não encontrado")</f>
        <v>ADM/TÉCNICO/ASSISTENTE/ESTAG.</v>
      </c>
    </row>
    <row r="502" spans="1:15" ht="43.5" x14ac:dyDescent="0.35">
      <c r="A502" s="6" t="s">
        <v>1664</v>
      </c>
      <c r="B502" s="6" t="s">
        <v>1665</v>
      </c>
      <c r="C502" s="6" t="s">
        <v>15</v>
      </c>
      <c r="D502" s="6" t="s">
        <v>1666</v>
      </c>
      <c r="E502" s="6" t="s">
        <v>46</v>
      </c>
      <c r="F502" s="6" t="s">
        <v>17</v>
      </c>
      <c r="G502" s="6" t="s">
        <v>54</v>
      </c>
      <c r="H502" s="5">
        <v>46149.703206018516</v>
      </c>
      <c r="I502" s="6" t="s">
        <v>19</v>
      </c>
      <c r="J502" s="5">
        <v>46149.910567129627</v>
      </c>
      <c r="K502" s="6" t="s">
        <v>65</v>
      </c>
      <c r="L502" s="6" t="s">
        <v>20</v>
      </c>
      <c r="M502" s="5">
        <v>46149.910567129627</v>
      </c>
      <c r="N502" s="5" t="s">
        <v>15</v>
      </c>
      <c r="O502" s="45" t="str">
        <f>_xlfn.XLOOKUP(TAB.IDEIAS.TOTAL[[#This Row],[Enviado por]],'BASE DMOS'!A:A,'BASE DMOS'!C:C,"Não encontrado")</f>
        <v>OPERAÇÃO</v>
      </c>
    </row>
    <row r="503" spans="1:15" ht="87" x14ac:dyDescent="0.35">
      <c r="A503" s="6" t="s">
        <v>1667</v>
      </c>
      <c r="B503" s="6" t="s">
        <v>1668</v>
      </c>
      <c r="C503" s="6" t="s">
        <v>148</v>
      </c>
      <c r="D503" s="6" t="s">
        <v>1669</v>
      </c>
      <c r="E503" s="6" t="s">
        <v>46</v>
      </c>
      <c r="F503" s="6" t="s">
        <v>17</v>
      </c>
      <c r="G503" s="6" t="s">
        <v>54</v>
      </c>
      <c r="H503" s="5">
        <v>46149.902997685182</v>
      </c>
      <c r="I503" s="6" t="s">
        <v>50</v>
      </c>
      <c r="J503" s="5">
        <v>46209.599849537037</v>
      </c>
      <c r="K503" s="6" t="s">
        <v>82</v>
      </c>
      <c r="L503" s="6" t="s">
        <v>66</v>
      </c>
      <c r="M503" s="5"/>
      <c r="N503" s="5" t="s">
        <v>148</v>
      </c>
      <c r="O503" s="45" t="str">
        <f>_xlfn.XLOOKUP(TAB.IDEIAS.TOTAL[[#This Row],[Enviado por]],'BASE DMOS'!A:A,'BASE DMOS'!C:C,"Não encontrado")</f>
        <v>OPERAÇÃO</v>
      </c>
    </row>
    <row r="504" spans="1:15" ht="116" x14ac:dyDescent="0.35">
      <c r="A504" s="6" t="s">
        <v>1670</v>
      </c>
      <c r="B504" s="6" t="s">
        <v>1671</v>
      </c>
      <c r="C504" s="6" t="s">
        <v>184</v>
      </c>
      <c r="D504" s="6" t="s">
        <v>1672</v>
      </c>
      <c r="E504" s="6" t="s">
        <v>78</v>
      </c>
      <c r="F504" s="6" t="s">
        <v>17</v>
      </c>
      <c r="G504" s="6" t="s">
        <v>24</v>
      </c>
      <c r="H504" s="5">
        <v>46150.474016203705</v>
      </c>
      <c r="I504" s="6" t="s">
        <v>86</v>
      </c>
      <c r="J504" s="5">
        <v>46203.497106481482</v>
      </c>
      <c r="K504" s="6" t="s">
        <v>78</v>
      </c>
      <c r="L504" s="6" t="s">
        <v>66</v>
      </c>
      <c r="M504" s="5"/>
      <c r="N504" s="43" t="s">
        <v>186</v>
      </c>
      <c r="O504" s="45" t="str">
        <f>_xlfn.XLOOKUP(TAB.IDEIAS.TOTAL[[#This Row],[Enviado por]],'BASE DMOS'!A:A,'BASE DMOS'!C:C,"Não encontrado")</f>
        <v>ADM/TÉCNICO/ASSISTENTE/ESTAG.</v>
      </c>
    </row>
    <row r="505" spans="1:15" ht="43.5" x14ac:dyDescent="0.35">
      <c r="A505" s="6" t="s">
        <v>1673</v>
      </c>
      <c r="B505" s="6" t="s">
        <v>1674</v>
      </c>
      <c r="C505" s="6" t="s">
        <v>861</v>
      </c>
      <c r="D505" s="6" t="s">
        <v>1675</v>
      </c>
      <c r="E505" s="6" t="s">
        <v>1535</v>
      </c>
      <c r="F505" s="6" t="s">
        <v>17</v>
      </c>
      <c r="H505" s="5">
        <v>46150.726145833331</v>
      </c>
      <c r="I505" s="6" t="s">
        <v>332</v>
      </c>
      <c r="J505" s="5">
        <v>46150.726145833331</v>
      </c>
      <c r="L505" s="6" t="s">
        <v>66</v>
      </c>
      <c r="M505" s="5"/>
      <c r="N505" s="5" t="s">
        <v>861</v>
      </c>
      <c r="O505" s="45" t="str">
        <f>_xlfn.XLOOKUP(TAB.IDEIAS.TOTAL[[#This Row],[Enviado por]],'BASE DMOS'!A:A,'BASE DMOS'!C:C,"Não encontrado")</f>
        <v>OPERAÇÃO</v>
      </c>
    </row>
    <row r="506" spans="1:15" ht="101.5" x14ac:dyDescent="0.35">
      <c r="A506" s="6" t="s">
        <v>1676</v>
      </c>
      <c r="B506" s="6" t="s">
        <v>1677</v>
      </c>
      <c r="C506" s="6" t="s">
        <v>148</v>
      </c>
      <c r="D506" s="6" t="s">
        <v>1678</v>
      </c>
      <c r="E506" s="6" t="s">
        <v>85</v>
      </c>
      <c r="F506" s="6" t="s">
        <v>17</v>
      </c>
      <c r="G506" s="6" t="s">
        <v>54</v>
      </c>
      <c r="H506" s="5">
        <v>46156.621736111112</v>
      </c>
      <c r="I506" s="6" t="s">
        <v>25</v>
      </c>
      <c r="J506" s="5">
        <v>46171.42559027778</v>
      </c>
      <c r="L506" s="6" t="s">
        <v>26</v>
      </c>
      <c r="M506" s="5"/>
      <c r="N506" s="5" t="s">
        <v>148</v>
      </c>
      <c r="O506" s="45" t="str">
        <f>_xlfn.XLOOKUP(TAB.IDEIAS.TOTAL[[#This Row],[Enviado por]],'BASE DMOS'!A:A,'BASE DMOS'!C:C,"Não encontrado")</f>
        <v>ADM/TÉCNICO/ASSISTENTE/ESTAG.</v>
      </c>
    </row>
    <row r="507" spans="1:15" ht="159.5" x14ac:dyDescent="0.35">
      <c r="A507" s="6" t="s">
        <v>1679</v>
      </c>
      <c r="B507" s="6" t="s">
        <v>1680</v>
      </c>
      <c r="C507" s="6" t="s">
        <v>184</v>
      </c>
      <c r="D507" s="6" t="s">
        <v>1681</v>
      </c>
      <c r="E507" s="6" t="s">
        <v>193</v>
      </c>
      <c r="F507" s="6" t="s">
        <v>17</v>
      </c>
      <c r="G507" s="6" t="s">
        <v>30</v>
      </c>
      <c r="H507" s="5">
        <v>46158.452905092592</v>
      </c>
      <c r="I507" s="6" t="s">
        <v>91</v>
      </c>
      <c r="J507" s="5">
        <v>46217.526041666664</v>
      </c>
      <c r="L507" s="6" t="s">
        <v>66</v>
      </c>
      <c r="M507" s="5"/>
      <c r="N507" s="43" t="s">
        <v>186</v>
      </c>
      <c r="O507" s="45" t="str">
        <f>_xlfn.XLOOKUP(TAB.IDEIAS.TOTAL[[#This Row],[Enviado por]],'BASE DMOS'!A:A,'BASE DMOS'!C:C,"Não encontrado")</f>
        <v>OPERAÇÃO</v>
      </c>
    </row>
    <row r="508" spans="1:15" ht="43.5" x14ac:dyDescent="0.35">
      <c r="A508" s="6" t="s">
        <v>1682</v>
      </c>
      <c r="B508" s="6" t="s">
        <v>1683</v>
      </c>
      <c r="C508" s="6" t="s">
        <v>15</v>
      </c>
      <c r="D508" s="6" t="s">
        <v>1684</v>
      </c>
      <c r="E508" s="6" t="s">
        <v>1600</v>
      </c>
      <c r="F508" s="6" t="s">
        <v>17</v>
      </c>
      <c r="G508" s="6" t="s">
        <v>54</v>
      </c>
      <c r="H508" s="5">
        <v>46160.32540509259</v>
      </c>
      <c r="I508" s="6" t="s">
        <v>19</v>
      </c>
      <c r="J508" s="5">
        <v>46168.603541666664</v>
      </c>
      <c r="L508" s="6" t="s">
        <v>20</v>
      </c>
      <c r="M508" s="5">
        <v>46168.603541666664</v>
      </c>
      <c r="N508" s="5" t="s">
        <v>15</v>
      </c>
      <c r="O508" s="45" t="str">
        <f>_xlfn.XLOOKUP(TAB.IDEIAS.TOTAL[[#This Row],[Enviado por]],'BASE DMOS'!A:A,'BASE DMOS'!C:C,"Não encontrado")</f>
        <v>ADM/TÉCNICO/ASSISTENTE/ESTAG.</v>
      </c>
    </row>
    <row r="509" spans="1:15" ht="29" x14ac:dyDescent="0.35">
      <c r="A509" s="6" t="s">
        <v>1685</v>
      </c>
      <c r="B509" s="6" t="s">
        <v>1686</v>
      </c>
      <c r="C509" s="6" t="s">
        <v>861</v>
      </c>
      <c r="D509" s="6" t="s">
        <v>1687</v>
      </c>
      <c r="E509" s="6" t="s">
        <v>1688</v>
      </c>
      <c r="F509" s="6" t="s">
        <v>17</v>
      </c>
      <c r="G509" s="6" t="s">
        <v>124</v>
      </c>
      <c r="H509" s="5">
        <v>46165.452615740738</v>
      </c>
      <c r="I509" s="6" t="s">
        <v>50</v>
      </c>
      <c r="J509" s="5">
        <v>46206.468032407407</v>
      </c>
      <c r="L509" s="6" t="s">
        <v>66</v>
      </c>
      <c r="M509" s="5"/>
      <c r="N509" s="5" t="s">
        <v>861</v>
      </c>
      <c r="O509" s="45" t="str">
        <f>_xlfn.XLOOKUP(TAB.IDEIAS.TOTAL[[#This Row],[Enviado por]],'BASE DMOS'!A:A,'BASE DMOS'!C:C,"Não encontrado")</f>
        <v>ADM/TÉCNICO/ASSISTENTE/ESTAG.</v>
      </c>
    </row>
    <row r="510" spans="1:15" ht="29" x14ac:dyDescent="0.35">
      <c r="A510" s="6" t="s">
        <v>1689</v>
      </c>
      <c r="B510" s="6" t="s">
        <v>1690</v>
      </c>
      <c r="C510" s="6" t="s">
        <v>861</v>
      </c>
      <c r="D510" s="6" t="s">
        <v>1691</v>
      </c>
      <c r="E510" s="6" t="s">
        <v>85</v>
      </c>
      <c r="F510" s="6" t="s">
        <v>17</v>
      </c>
      <c r="G510" s="6" t="s">
        <v>61</v>
      </c>
      <c r="H510" s="5">
        <v>46167.520937499998</v>
      </c>
      <c r="I510" s="6" t="s">
        <v>25</v>
      </c>
      <c r="J510" s="5">
        <v>46203.602870370371</v>
      </c>
      <c r="L510" s="6" t="s">
        <v>66</v>
      </c>
      <c r="M510" s="5"/>
      <c r="N510" s="5" t="s">
        <v>861</v>
      </c>
      <c r="O510" s="45" t="str">
        <f>_xlfn.XLOOKUP(TAB.IDEIAS.TOTAL[[#This Row],[Enviado por]],'BASE DMOS'!A:A,'BASE DMOS'!C:C,"Não encontrado")</f>
        <v>ADM/TÉCNICO/ASSISTENTE/ESTAG.</v>
      </c>
    </row>
    <row r="511" spans="1:15" ht="43.5" x14ac:dyDescent="0.35">
      <c r="A511" s="6" t="s">
        <v>1692</v>
      </c>
      <c r="B511" s="6" t="s">
        <v>1693</v>
      </c>
      <c r="C511" s="6" t="s">
        <v>184</v>
      </c>
      <c r="D511" s="6" t="s">
        <v>1694</v>
      </c>
      <c r="E511" s="6" t="s">
        <v>85</v>
      </c>
      <c r="F511" s="6" t="s">
        <v>17</v>
      </c>
      <c r="G511" s="6" t="s">
        <v>54</v>
      </c>
      <c r="H511" s="5">
        <v>46167.526504629626</v>
      </c>
      <c r="I511" s="6" t="s">
        <v>25</v>
      </c>
      <c r="J511" s="5">
        <v>46203.496527777781</v>
      </c>
      <c r="K511" s="6" t="s">
        <v>78</v>
      </c>
      <c r="L511" s="6" t="s">
        <v>66</v>
      </c>
      <c r="M511" s="5"/>
      <c r="N511" s="43" t="s">
        <v>186</v>
      </c>
      <c r="O511" s="45" t="str">
        <f>_xlfn.XLOOKUP(TAB.IDEIAS.TOTAL[[#This Row],[Enviado por]],'BASE DMOS'!A:A,'BASE DMOS'!C:C,"Não encontrado")</f>
        <v>ADM/TÉCNICO/ASSISTENTE/ESTAG.</v>
      </c>
    </row>
    <row r="512" spans="1:15" ht="43.5" x14ac:dyDescent="0.35">
      <c r="A512" s="6" t="s">
        <v>1695</v>
      </c>
      <c r="B512" s="6" t="s">
        <v>1696</v>
      </c>
      <c r="C512" s="6" t="s">
        <v>15</v>
      </c>
      <c r="D512" s="6" t="s">
        <v>1697</v>
      </c>
      <c r="E512" s="6" t="s">
        <v>294</v>
      </c>
      <c r="F512" s="6" t="s">
        <v>17</v>
      </c>
      <c r="G512" s="6" t="s">
        <v>18</v>
      </c>
      <c r="H512" s="5">
        <v>46168.592870370368</v>
      </c>
      <c r="I512" s="6" t="s">
        <v>19</v>
      </c>
      <c r="J512" s="5">
        <v>46171.378634259258</v>
      </c>
      <c r="K512" s="6" t="s">
        <v>97</v>
      </c>
      <c r="L512" s="6" t="s">
        <v>20</v>
      </c>
      <c r="M512" s="5">
        <v>46171.378634259258</v>
      </c>
      <c r="N512" s="5" t="s">
        <v>15</v>
      </c>
      <c r="O512" s="45" t="str">
        <f>_xlfn.XLOOKUP(TAB.IDEIAS.TOTAL[[#This Row],[Enviado por]],'BASE DMOS'!A:A,'BASE DMOS'!C:C,"Não encontrado")</f>
        <v>ADM/TÉCNICO/ASSISTENTE/ESTAG.</v>
      </c>
    </row>
    <row r="513" spans="1:15" ht="29" x14ac:dyDescent="0.35">
      <c r="A513" s="6" t="s">
        <v>1698</v>
      </c>
      <c r="B513" s="6" t="s">
        <v>1699</v>
      </c>
      <c r="C513" s="6" t="s">
        <v>861</v>
      </c>
      <c r="D513" s="6" t="s">
        <v>1700</v>
      </c>
      <c r="E513" s="6" t="s">
        <v>1616</v>
      </c>
      <c r="F513" s="6" t="s">
        <v>17</v>
      </c>
      <c r="H513" s="5">
        <v>46169.07613425926</v>
      </c>
      <c r="I513" s="6" t="s">
        <v>50</v>
      </c>
      <c r="J513" s="5">
        <v>46169.076145833336</v>
      </c>
      <c r="L513" s="6" t="s">
        <v>66</v>
      </c>
      <c r="M513" s="5"/>
      <c r="N513" s="5" t="s">
        <v>861</v>
      </c>
      <c r="O513" s="45" t="str">
        <f>_xlfn.XLOOKUP(TAB.IDEIAS.TOTAL[[#This Row],[Enviado por]],'BASE DMOS'!A:A,'BASE DMOS'!C:C,"Não encontrado")</f>
        <v>OPERAÇÃO</v>
      </c>
    </row>
    <row r="514" spans="1:15" ht="58" x14ac:dyDescent="0.35">
      <c r="A514" s="6" t="s">
        <v>1701</v>
      </c>
      <c r="B514" s="6" t="s">
        <v>1702</v>
      </c>
      <c r="C514" s="6" t="s">
        <v>184</v>
      </c>
      <c r="D514" s="6" t="s">
        <v>1703</v>
      </c>
      <c r="E514" s="6" t="s">
        <v>108</v>
      </c>
      <c r="F514" s="6" t="s">
        <v>17</v>
      </c>
      <c r="G514" s="6" t="s">
        <v>61</v>
      </c>
      <c r="H514" s="5">
        <v>46170.560034722221</v>
      </c>
      <c r="I514" s="6" t="s">
        <v>98</v>
      </c>
      <c r="J514" s="5">
        <v>46266.518564814818</v>
      </c>
      <c r="K514" s="6" t="s">
        <v>243</v>
      </c>
      <c r="L514" s="6" t="s">
        <v>66</v>
      </c>
      <c r="M514" s="5"/>
      <c r="N514" s="43" t="s">
        <v>374</v>
      </c>
      <c r="O514" s="45" t="str">
        <f>_xlfn.XLOOKUP(TAB.IDEIAS.TOTAL[[#This Row],[Enviado por]],'BASE DMOS'!A:A,'BASE DMOS'!C:C,"Não encontrado")</f>
        <v>ADM/TÉCNICO/ASSISTENTE/ESTAG.</v>
      </c>
    </row>
    <row r="515" spans="1:15" ht="232" x14ac:dyDescent="0.35">
      <c r="A515" s="6" t="s">
        <v>1704</v>
      </c>
      <c r="B515" s="6" t="s">
        <v>1705</v>
      </c>
      <c r="C515" s="6" t="s">
        <v>148</v>
      </c>
      <c r="D515" s="6" t="s">
        <v>1706</v>
      </c>
      <c r="E515" s="6" t="s">
        <v>1707</v>
      </c>
      <c r="F515" s="6" t="s">
        <v>17</v>
      </c>
      <c r="G515" s="6" t="s">
        <v>61</v>
      </c>
      <c r="H515" s="5">
        <v>46170.589756944442</v>
      </c>
      <c r="I515" s="6" t="s">
        <v>1708</v>
      </c>
      <c r="J515" s="5">
        <v>46170.608217592591</v>
      </c>
      <c r="K515" s="6" t="s">
        <v>1707</v>
      </c>
      <c r="L515" s="6" t="s">
        <v>273</v>
      </c>
      <c r="M515" s="5"/>
      <c r="N515" s="5" t="s">
        <v>148</v>
      </c>
      <c r="O515" s="45" t="str">
        <f>_xlfn.XLOOKUP(TAB.IDEIAS.TOTAL[[#This Row],[Enviado por]],'BASE DMOS'!A:A,'BASE DMOS'!C:C,"Não encontrado")</f>
        <v>ADM/TÉCNICO/ASSISTENTE/ESTAG.</v>
      </c>
    </row>
    <row r="516" spans="1:15" ht="58" x14ac:dyDescent="0.35">
      <c r="A516" s="6" t="s">
        <v>1709</v>
      </c>
      <c r="B516" s="6" t="s">
        <v>1710</v>
      </c>
      <c r="C516" s="6" t="s">
        <v>861</v>
      </c>
      <c r="D516" s="6" t="s">
        <v>1711</v>
      </c>
      <c r="E516" s="6" t="s">
        <v>445</v>
      </c>
      <c r="F516" s="6" t="s">
        <v>17</v>
      </c>
      <c r="G516" s="6" t="s">
        <v>30</v>
      </c>
      <c r="H516" s="5">
        <v>46171.645856481482</v>
      </c>
      <c r="I516" s="6" t="s">
        <v>91</v>
      </c>
      <c r="J516" s="5">
        <v>46203.603402777779</v>
      </c>
      <c r="L516" s="6" t="s">
        <v>66</v>
      </c>
      <c r="M516" s="5"/>
      <c r="N516" s="5" t="s">
        <v>861</v>
      </c>
      <c r="O516" s="45" t="str">
        <f>_xlfn.XLOOKUP(TAB.IDEIAS.TOTAL[[#This Row],[Enviado por]],'BASE DMOS'!A:A,'BASE DMOS'!C:C,"Não encontrado")</f>
        <v>ADM/TÉCNICO/ASSISTENTE/ESTAG.</v>
      </c>
    </row>
    <row r="517" spans="1:15" ht="72.5" x14ac:dyDescent="0.35">
      <c r="A517" s="6" t="s">
        <v>1712</v>
      </c>
      <c r="B517" s="6" t="s">
        <v>1713</v>
      </c>
      <c r="C517" s="6" t="s">
        <v>15</v>
      </c>
      <c r="D517" s="6" t="s">
        <v>1714</v>
      </c>
      <c r="E517" s="6" t="s">
        <v>117</v>
      </c>
      <c r="F517" s="6" t="s">
        <v>17</v>
      </c>
      <c r="G517" s="6" t="s">
        <v>61</v>
      </c>
      <c r="H517" s="5">
        <v>46174.645914351851</v>
      </c>
      <c r="I517" s="6" t="s">
        <v>1715</v>
      </c>
      <c r="J517" s="5">
        <v>46176.512696759259</v>
      </c>
      <c r="L517" s="6" t="s">
        <v>32</v>
      </c>
      <c r="M517" s="5">
        <v>46176.512696759259</v>
      </c>
      <c r="N517" s="5" t="s">
        <v>15</v>
      </c>
      <c r="O517" s="45" t="str">
        <f>_xlfn.XLOOKUP(TAB.IDEIAS.TOTAL[[#This Row],[Enviado por]],'BASE DMOS'!A:A,'BASE DMOS'!C:C,"Não encontrado")</f>
        <v>ADM/TÉCNICO/ASSISTENTE/ESTAG.</v>
      </c>
    </row>
    <row r="518" spans="1:15" ht="29" x14ac:dyDescent="0.35">
      <c r="A518" s="6" t="s">
        <v>1716</v>
      </c>
      <c r="B518" s="6" t="s">
        <v>1717</v>
      </c>
      <c r="C518" s="6" t="s">
        <v>15</v>
      </c>
      <c r="D518" s="6" t="s">
        <v>1718</v>
      </c>
      <c r="E518" s="6" t="s">
        <v>1719</v>
      </c>
      <c r="F518" s="6" t="s">
        <v>17</v>
      </c>
      <c r="G518" s="6" t="s">
        <v>54</v>
      </c>
      <c r="H518" s="5">
        <v>46175.179398148146</v>
      </c>
      <c r="I518" s="6" t="s">
        <v>204</v>
      </c>
      <c r="J518" s="5">
        <v>46231.715358796297</v>
      </c>
      <c r="L518" s="6" t="s">
        <v>66</v>
      </c>
      <c r="M518" s="5">
        <v>46231.715358796297</v>
      </c>
      <c r="N518" s="5" t="s">
        <v>15</v>
      </c>
      <c r="O518" s="45" t="str">
        <f>_xlfn.XLOOKUP(TAB.IDEIAS.TOTAL[[#This Row],[Enviado por]],'BASE DMOS'!A:A,'BASE DMOS'!C:C,"Não encontrado")</f>
        <v>OPERAÇÃO</v>
      </c>
    </row>
    <row r="519" spans="1:15" ht="58" x14ac:dyDescent="0.35">
      <c r="A519" s="6" t="s">
        <v>1720</v>
      </c>
      <c r="B519" s="6" t="s">
        <v>1721</v>
      </c>
      <c r="C519" s="6" t="s">
        <v>148</v>
      </c>
      <c r="D519" s="6" t="s">
        <v>1722</v>
      </c>
      <c r="E519" s="6" t="s">
        <v>46</v>
      </c>
      <c r="F519" s="6" t="s">
        <v>17</v>
      </c>
      <c r="G519" s="6" t="s">
        <v>24</v>
      </c>
      <c r="H519" s="5">
        <v>46175.778622685182</v>
      </c>
      <c r="I519" s="6" t="s">
        <v>50</v>
      </c>
      <c r="J519" s="5">
        <v>46240.399537037039</v>
      </c>
      <c r="K519" s="6" t="s">
        <v>294</v>
      </c>
      <c r="L519" s="6" t="s">
        <v>66</v>
      </c>
      <c r="M519" s="5"/>
      <c r="N519" s="5" t="s">
        <v>148</v>
      </c>
      <c r="O519" s="45" t="str">
        <f>_xlfn.XLOOKUP(TAB.IDEIAS.TOTAL[[#This Row],[Enviado por]],'BASE DMOS'!A:A,'BASE DMOS'!C:C,"Não encontrado")</f>
        <v>OPERAÇÃO</v>
      </c>
    </row>
    <row r="520" spans="1:15" ht="29" x14ac:dyDescent="0.35">
      <c r="A520" s="6" t="s">
        <v>1723</v>
      </c>
      <c r="B520" s="6" t="s">
        <v>1724</v>
      </c>
      <c r="C520" s="6" t="s">
        <v>861</v>
      </c>
      <c r="D520" s="6" t="s">
        <v>1725</v>
      </c>
      <c r="E520" s="6" t="s">
        <v>23</v>
      </c>
      <c r="F520" s="6" t="s">
        <v>17</v>
      </c>
      <c r="G520" s="6" t="s">
        <v>30</v>
      </c>
      <c r="H520" s="5">
        <v>46177.027291666665</v>
      </c>
      <c r="I520" s="6" t="s">
        <v>25</v>
      </c>
      <c r="J520" s="5">
        <v>46203.60392361111</v>
      </c>
      <c r="L520" s="6" t="s">
        <v>66</v>
      </c>
      <c r="M520" s="5"/>
      <c r="N520" s="5" t="s">
        <v>861</v>
      </c>
      <c r="O520" s="45" t="str">
        <f>_xlfn.XLOOKUP(TAB.IDEIAS.TOTAL[[#This Row],[Enviado por]],'BASE DMOS'!A:A,'BASE DMOS'!C:C,"Não encontrado")</f>
        <v>OPERAÇÃO</v>
      </c>
    </row>
    <row r="521" spans="1:15" ht="43.5" x14ac:dyDescent="0.35">
      <c r="A521" s="6" t="s">
        <v>1726</v>
      </c>
      <c r="B521" s="6" t="s">
        <v>1727</v>
      </c>
      <c r="C521" s="6" t="s">
        <v>184</v>
      </c>
      <c r="D521" s="6" t="s">
        <v>1728</v>
      </c>
      <c r="E521" s="6" t="s">
        <v>1719</v>
      </c>
      <c r="F521" s="6" t="s">
        <v>17</v>
      </c>
      <c r="G521" s="6" t="s">
        <v>61</v>
      </c>
      <c r="H521" s="5">
        <v>46177.229872685188</v>
      </c>
      <c r="I521" s="6" t="s">
        <v>50</v>
      </c>
      <c r="J521" s="5">
        <v>46282.586296296293</v>
      </c>
      <c r="K521" s="6" t="s">
        <v>688</v>
      </c>
      <c r="L521" s="6" t="s">
        <v>66</v>
      </c>
      <c r="M521" s="5"/>
      <c r="N521" s="43" t="s">
        <v>392</v>
      </c>
      <c r="O521" s="45" t="str">
        <f>_xlfn.XLOOKUP(TAB.IDEIAS.TOTAL[[#This Row],[Enviado por]],'BASE DMOS'!A:A,'BASE DMOS'!C:C,"Não encontrado")</f>
        <v>OPERAÇÃO</v>
      </c>
    </row>
    <row r="522" spans="1:15" ht="72.5" x14ac:dyDescent="0.35">
      <c r="A522" s="6" t="s">
        <v>1729</v>
      </c>
      <c r="B522" s="6" t="s">
        <v>1730</v>
      </c>
      <c r="C522" s="6" t="s">
        <v>184</v>
      </c>
      <c r="D522" s="6" t="s">
        <v>1731</v>
      </c>
      <c r="E522" s="6" t="s">
        <v>222</v>
      </c>
      <c r="F522" s="6" t="s">
        <v>17</v>
      </c>
      <c r="G522" s="6" t="s">
        <v>54</v>
      </c>
      <c r="H522" s="5">
        <v>46177.555231481485</v>
      </c>
      <c r="I522" s="6" t="s">
        <v>204</v>
      </c>
      <c r="J522" s="5">
        <v>46217.525034722225</v>
      </c>
      <c r="L522" s="6" t="s">
        <v>66</v>
      </c>
      <c r="M522" s="5"/>
      <c r="N522" s="43" t="s">
        <v>186</v>
      </c>
      <c r="O522" s="45" t="str">
        <f>_xlfn.XLOOKUP(TAB.IDEIAS.TOTAL[[#This Row],[Enviado por]],'BASE DMOS'!A:A,'BASE DMOS'!C:C,"Não encontrado")</f>
        <v>OPERAÇÃO</v>
      </c>
    </row>
    <row r="523" spans="1:15" ht="101.5" x14ac:dyDescent="0.35">
      <c r="A523" s="6" t="s">
        <v>1732</v>
      </c>
      <c r="B523" s="6" t="s">
        <v>1733</v>
      </c>
      <c r="C523" s="6" t="s">
        <v>861</v>
      </c>
      <c r="D523" s="6" t="s">
        <v>1734</v>
      </c>
      <c r="E523" s="6" t="s">
        <v>85</v>
      </c>
      <c r="F523" s="6" t="s">
        <v>17</v>
      </c>
      <c r="G523" s="6" t="s">
        <v>61</v>
      </c>
      <c r="H523" s="5">
        <v>46181.879270833335</v>
      </c>
      <c r="I523" s="6" t="s">
        <v>98</v>
      </c>
      <c r="J523" s="5">
        <v>46206.475428240738</v>
      </c>
      <c r="L523" s="6" t="s">
        <v>66</v>
      </c>
      <c r="M523" s="5"/>
      <c r="N523" s="5" t="s">
        <v>861</v>
      </c>
      <c r="O523" s="45" t="str">
        <f>_xlfn.XLOOKUP(TAB.IDEIAS.TOTAL[[#This Row],[Enviado por]],'BASE DMOS'!A:A,'BASE DMOS'!C:C,"Não encontrado")</f>
        <v>ADM/TÉCNICO/ASSISTENTE/ESTAG.</v>
      </c>
    </row>
    <row r="524" spans="1:15" ht="29" x14ac:dyDescent="0.35">
      <c r="A524" s="6" t="s">
        <v>1735</v>
      </c>
      <c r="B524" s="6" t="s">
        <v>1736</v>
      </c>
      <c r="C524" s="6" t="s">
        <v>184</v>
      </c>
      <c r="D524" s="6" t="s">
        <v>1737</v>
      </c>
      <c r="E524" s="6" t="s">
        <v>23</v>
      </c>
      <c r="F524" s="6" t="s">
        <v>17</v>
      </c>
      <c r="G524" s="6" t="s">
        <v>18</v>
      </c>
      <c r="H524" s="5">
        <v>46182.06827546296</v>
      </c>
      <c r="I524" s="6" t="s">
        <v>25</v>
      </c>
      <c r="J524" s="5">
        <v>46184.610844907409</v>
      </c>
      <c r="K524" s="6" t="s">
        <v>58</v>
      </c>
      <c r="L524" s="6" t="s">
        <v>26</v>
      </c>
      <c r="M524" s="5"/>
      <c r="N524" s="43" t="s">
        <v>186</v>
      </c>
      <c r="O524" s="45" t="str">
        <f>_xlfn.XLOOKUP(TAB.IDEIAS.TOTAL[[#This Row],[Enviado por]],'BASE DMOS'!A:A,'BASE DMOS'!C:C,"Não encontrado")</f>
        <v>OPERAÇÃO</v>
      </c>
    </row>
    <row r="525" spans="1:15" ht="29" x14ac:dyDescent="0.35">
      <c r="A525" s="6" t="s">
        <v>1738</v>
      </c>
      <c r="B525" s="6" t="s">
        <v>1739</v>
      </c>
      <c r="C525" s="6" t="s">
        <v>861</v>
      </c>
      <c r="D525" s="6" t="s">
        <v>1740</v>
      </c>
      <c r="E525" s="6" t="s">
        <v>23</v>
      </c>
      <c r="F525" s="6" t="s">
        <v>17</v>
      </c>
      <c r="G525" s="6" t="s">
        <v>61</v>
      </c>
      <c r="H525" s="5">
        <v>46183.134606481479</v>
      </c>
      <c r="I525" s="6" t="s">
        <v>25</v>
      </c>
      <c r="J525" s="5">
        <v>46203.607569444444</v>
      </c>
      <c r="L525" s="6" t="s">
        <v>66</v>
      </c>
      <c r="M525" s="5"/>
      <c r="N525" s="5" t="s">
        <v>861</v>
      </c>
      <c r="O525" s="45" t="str">
        <f>_xlfn.XLOOKUP(TAB.IDEIAS.TOTAL[[#This Row],[Enviado por]],'BASE DMOS'!A:A,'BASE DMOS'!C:C,"Não encontrado")</f>
        <v>OPERAÇÃO</v>
      </c>
    </row>
    <row r="526" spans="1:15" ht="58" x14ac:dyDescent="0.35">
      <c r="A526" s="6" t="s">
        <v>1741</v>
      </c>
      <c r="B526" s="6" t="s">
        <v>1742</v>
      </c>
      <c r="C526" s="6" t="s">
        <v>15</v>
      </c>
      <c r="D526" s="6" t="s">
        <v>1743</v>
      </c>
      <c r="E526" s="6" t="s">
        <v>108</v>
      </c>
      <c r="F526" s="6" t="s">
        <v>17</v>
      </c>
      <c r="G526" s="6" t="s">
        <v>61</v>
      </c>
      <c r="H526" s="5">
        <v>46183.39025462963</v>
      </c>
      <c r="I526" s="6" t="s">
        <v>98</v>
      </c>
      <c r="J526" s="5">
        <v>46183.400462962964</v>
      </c>
      <c r="L526" s="6" t="s">
        <v>273</v>
      </c>
      <c r="M526" s="5">
        <v>46183.400462962964</v>
      </c>
      <c r="N526" s="5" t="s">
        <v>15</v>
      </c>
      <c r="O526" s="45" t="str">
        <f>_xlfn.XLOOKUP(TAB.IDEIAS.TOTAL[[#This Row],[Enviado por]],'BASE DMOS'!A:A,'BASE DMOS'!C:C,"Não encontrado")</f>
        <v>ADM/TÉCNICO/ASSISTENTE/ESTAG.</v>
      </c>
    </row>
    <row r="527" spans="1:15" ht="87" x14ac:dyDescent="0.35">
      <c r="A527" s="6" t="s">
        <v>1744</v>
      </c>
      <c r="B527" s="6" t="s">
        <v>1745</v>
      </c>
      <c r="C527" s="6" t="s">
        <v>184</v>
      </c>
      <c r="D527" s="6" t="s">
        <v>1746</v>
      </c>
      <c r="E527" s="6" t="s">
        <v>102</v>
      </c>
      <c r="F527" s="6" t="s">
        <v>112</v>
      </c>
      <c r="G527" s="6" t="s">
        <v>30</v>
      </c>
      <c r="H527" s="5">
        <v>46183.406122685185</v>
      </c>
      <c r="I527" s="6" t="s">
        <v>242</v>
      </c>
      <c r="J527" s="5">
        <v>46217.527638888889</v>
      </c>
      <c r="L527" s="6" t="s">
        <v>66</v>
      </c>
      <c r="M527" s="5"/>
      <c r="N527" s="43" t="s">
        <v>392</v>
      </c>
      <c r="O527" s="45" t="str">
        <f>_xlfn.XLOOKUP(TAB.IDEIAS.TOTAL[[#This Row],[Enviado por]],'BASE DMOS'!A:A,'BASE DMOS'!C:C,"Não encontrado")</f>
        <v>OPERAÇÃO</v>
      </c>
    </row>
    <row r="528" spans="1:15" ht="174" x14ac:dyDescent="0.35">
      <c r="A528" s="6" t="s">
        <v>1747</v>
      </c>
      <c r="B528" s="6" t="s">
        <v>1748</v>
      </c>
      <c r="C528" s="6" t="s">
        <v>184</v>
      </c>
      <c r="D528" s="6" t="s">
        <v>1749</v>
      </c>
      <c r="E528" s="6" t="s">
        <v>102</v>
      </c>
      <c r="F528" s="6" t="s">
        <v>112</v>
      </c>
      <c r="G528" s="6" t="s">
        <v>602</v>
      </c>
      <c r="H528" s="5">
        <v>46183.577314814815</v>
      </c>
      <c r="I528" s="6" t="s">
        <v>242</v>
      </c>
      <c r="J528" s="5">
        <v>46217.528553240743</v>
      </c>
      <c r="L528" s="6" t="s">
        <v>66</v>
      </c>
      <c r="M528" s="5"/>
      <c r="N528" s="43" t="s">
        <v>215</v>
      </c>
      <c r="O528" s="45" t="str">
        <f>_xlfn.XLOOKUP(TAB.IDEIAS.TOTAL[[#This Row],[Enviado por]],'BASE DMOS'!A:A,'BASE DMOS'!C:C,"Não encontrado")</f>
        <v>OPERAÇÃO</v>
      </c>
    </row>
    <row r="529" spans="1:16" ht="72.5" x14ac:dyDescent="0.35">
      <c r="A529" s="6" t="s">
        <v>1750</v>
      </c>
      <c r="B529" s="6" t="s">
        <v>1751</v>
      </c>
      <c r="C529" s="6" t="s">
        <v>184</v>
      </c>
      <c r="D529" s="6" t="s">
        <v>1752</v>
      </c>
      <c r="E529" s="6" t="s">
        <v>90</v>
      </c>
      <c r="F529" s="6" t="s">
        <v>17</v>
      </c>
      <c r="G529" s="6" t="s">
        <v>18</v>
      </c>
      <c r="H529" s="5">
        <v>46184.342881944445</v>
      </c>
      <c r="I529" s="6" t="s">
        <v>204</v>
      </c>
      <c r="J529" s="5">
        <v>46266.516631944447</v>
      </c>
      <c r="K529" s="6" t="s">
        <v>78</v>
      </c>
      <c r="L529" s="6" t="s">
        <v>66</v>
      </c>
      <c r="M529" s="5"/>
      <c r="N529" s="43" t="s">
        <v>215</v>
      </c>
      <c r="O529" s="45" t="str">
        <f>_xlfn.XLOOKUP(TAB.IDEIAS.TOTAL[[#This Row],[Enviado por]],'BASE DMOS'!A:A,'BASE DMOS'!C:C,"Não encontrado")</f>
        <v>OPERAÇÃO</v>
      </c>
    </row>
    <row r="530" spans="1:16" ht="29" x14ac:dyDescent="0.35">
      <c r="A530" s="6" t="s">
        <v>1753</v>
      </c>
      <c r="B530" s="6" t="s">
        <v>1754</v>
      </c>
      <c r="C530" s="6" t="s">
        <v>184</v>
      </c>
      <c r="D530" s="6" t="s">
        <v>1755</v>
      </c>
      <c r="E530" s="6" t="s">
        <v>1756</v>
      </c>
      <c r="F530" s="6" t="s">
        <v>17</v>
      </c>
      <c r="G530" s="6" t="s">
        <v>30</v>
      </c>
      <c r="H530" s="5">
        <v>46184.409421296295</v>
      </c>
      <c r="I530" s="6" t="s">
        <v>332</v>
      </c>
      <c r="J530" s="5">
        <v>46217.526319444441</v>
      </c>
      <c r="L530" s="6" t="s">
        <v>66</v>
      </c>
      <c r="M530" s="5"/>
      <c r="N530" s="43" t="s">
        <v>374</v>
      </c>
      <c r="O530" s="45" t="str">
        <f>_xlfn.XLOOKUP(TAB.IDEIAS.TOTAL[[#This Row],[Enviado por]],'BASE DMOS'!A:A,'BASE DMOS'!C:C,"Não encontrado")</f>
        <v>OPERAÇÃO</v>
      </c>
    </row>
    <row r="531" spans="1:16" ht="116" x14ac:dyDescent="0.35">
      <c r="A531" s="6" t="s">
        <v>1757</v>
      </c>
      <c r="B531" s="6" t="s">
        <v>1758</v>
      </c>
      <c r="C531" s="6" t="s">
        <v>15</v>
      </c>
      <c r="D531" s="6" t="s">
        <v>1759</v>
      </c>
      <c r="E531" s="6" t="s">
        <v>108</v>
      </c>
      <c r="F531" s="6" t="s">
        <v>17</v>
      </c>
      <c r="G531" s="6" t="s">
        <v>24</v>
      </c>
      <c r="H531" s="5">
        <v>46184.468599537038</v>
      </c>
      <c r="I531" s="6" t="s">
        <v>98</v>
      </c>
      <c r="J531" s="5">
        <v>46217.729826388888</v>
      </c>
      <c r="L531" s="6" t="s">
        <v>66</v>
      </c>
      <c r="M531" s="5">
        <v>46217.729826388888</v>
      </c>
      <c r="N531" s="5" t="s">
        <v>15</v>
      </c>
      <c r="O531" s="45" t="str">
        <f>_xlfn.XLOOKUP(TAB.IDEIAS.TOTAL[[#This Row],[Enviado por]],'BASE DMOS'!A:A,'BASE DMOS'!C:C,"Não encontrado")</f>
        <v>ADM/TÉCNICO/ASSISTENTE/ESTAG.</v>
      </c>
    </row>
    <row r="532" spans="1:16" ht="29" x14ac:dyDescent="0.35">
      <c r="A532" s="6" t="s">
        <v>1760</v>
      </c>
      <c r="B532" s="6" t="s">
        <v>1761</v>
      </c>
      <c r="C532" s="6" t="s">
        <v>861</v>
      </c>
      <c r="D532" s="6" t="s">
        <v>1762</v>
      </c>
      <c r="E532" s="6" t="s">
        <v>23</v>
      </c>
      <c r="F532" s="6" t="s">
        <v>17</v>
      </c>
      <c r="G532" s="6" t="s">
        <v>30</v>
      </c>
      <c r="H532" s="5">
        <v>46187.988657407404</v>
      </c>
      <c r="I532" s="6" t="s">
        <v>25</v>
      </c>
      <c r="J532" s="5">
        <v>46203.609768518516</v>
      </c>
      <c r="L532" s="6" t="s">
        <v>66</v>
      </c>
      <c r="M532" s="5"/>
      <c r="N532" s="5" t="s">
        <v>861</v>
      </c>
      <c r="O532" s="45" t="str">
        <f>_xlfn.XLOOKUP(TAB.IDEIAS.TOTAL[[#This Row],[Enviado por]],'BASE DMOS'!A:A,'BASE DMOS'!C:C,"Não encontrado")</f>
        <v>OPERAÇÃO</v>
      </c>
    </row>
    <row r="533" spans="1:16" ht="145" x14ac:dyDescent="0.35">
      <c r="A533" s="6" t="s">
        <v>121</v>
      </c>
      <c r="B533" s="6" t="s">
        <v>122</v>
      </c>
      <c r="C533" s="6" t="s">
        <v>15</v>
      </c>
      <c r="D533" s="6" t="s">
        <v>1763</v>
      </c>
      <c r="E533" s="6" t="s">
        <v>123</v>
      </c>
      <c r="F533" s="6" t="s">
        <v>112</v>
      </c>
      <c r="G533" s="6" t="s">
        <v>124</v>
      </c>
      <c r="H533" s="5">
        <v>46188.623136574075</v>
      </c>
      <c r="I533" s="6" t="s">
        <v>19</v>
      </c>
      <c r="J533" s="5">
        <v>46286.306238425925</v>
      </c>
      <c r="L533" s="6" t="s">
        <v>66</v>
      </c>
      <c r="M533" s="5">
        <v>46286.306238425925</v>
      </c>
      <c r="N533" s="43" t="s">
        <v>148</v>
      </c>
      <c r="O533" s="45" t="str">
        <f>_xlfn.XLOOKUP(TAB.IDEIAS.TOTAL[[#This Row],[Enviado por]],'BASE DMOS'!A:A,'BASE DMOS'!C:C,"Não encontrado")</f>
        <v>ADM/TÉCNICO/ASSISTENTE/ESTAG.</v>
      </c>
      <c r="P533" t="s">
        <v>539</v>
      </c>
    </row>
    <row r="534" spans="1:16" ht="87" x14ac:dyDescent="0.35">
      <c r="A534" s="6" t="s">
        <v>1764</v>
      </c>
      <c r="B534" s="6" t="s">
        <v>1765</v>
      </c>
      <c r="C534" s="6" t="s">
        <v>861</v>
      </c>
      <c r="D534" s="6" t="s">
        <v>1766</v>
      </c>
      <c r="E534" s="6" t="s">
        <v>123</v>
      </c>
      <c r="F534" s="6" t="s">
        <v>112</v>
      </c>
      <c r="G534" s="6" t="s">
        <v>30</v>
      </c>
      <c r="H534" s="5">
        <v>46188.641817129632</v>
      </c>
      <c r="I534" s="6" t="s">
        <v>204</v>
      </c>
      <c r="J534" s="5">
        <v>46206.479733796295</v>
      </c>
      <c r="L534" s="6" t="s">
        <v>66</v>
      </c>
      <c r="M534" s="5"/>
      <c r="N534" s="5" t="s">
        <v>861</v>
      </c>
      <c r="O534" s="45" t="str">
        <f>_xlfn.XLOOKUP(TAB.IDEIAS.TOTAL[[#This Row],[Enviado por]],'BASE DMOS'!A:A,'BASE DMOS'!C:C,"Não encontrado")</f>
        <v>ADM/TÉCNICO/ASSISTENTE/ESTAG.</v>
      </c>
    </row>
    <row r="535" spans="1:16" ht="58" x14ac:dyDescent="0.35">
      <c r="A535" s="6" t="s">
        <v>1767</v>
      </c>
      <c r="B535" s="6" t="s">
        <v>1768</v>
      </c>
      <c r="C535" s="6" t="s">
        <v>861</v>
      </c>
      <c r="D535" s="6" t="s">
        <v>1769</v>
      </c>
      <c r="E535" s="6" t="s">
        <v>1770</v>
      </c>
      <c r="F535" s="6" t="s">
        <v>17</v>
      </c>
      <c r="G535" s="6" t="s">
        <v>24</v>
      </c>
      <c r="H535" s="5">
        <v>46191.634236111109</v>
      </c>
      <c r="I535" s="6" t="s">
        <v>86</v>
      </c>
      <c r="J535" s="5">
        <v>46203.610358796293</v>
      </c>
      <c r="L535" s="6" t="s">
        <v>66</v>
      </c>
      <c r="M535" s="5"/>
      <c r="N535" s="5" t="s">
        <v>861</v>
      </c>
      <c r="O535" s="45" t="str">
        <f>_xlfn.XLOOKUP(TAB.IDEIAS.TOTAL[[#This Row],[Enviado por]],'BASE DMOS'!A:A,'BASE DMOS'!C:C,"Não encontrado")</f>
        <v>ADM/TÉCNICO/ASSISTENTE/ESTAG.</v>
      </c>
    </row>
    <row r="536" spans="1:16" ht="29" x14ac:dyDescent="0.35">
      <c r="A536" s="6" t="s">
        <v>1771</v>
      </c>
      <c r="B536" s="6" t="s">
        <v>1772</v>
      </c>
      <c r="C536" s="6" t="s">
        <v>861</v>
      </c>
      <c r="D536" s="6" t="s">
        <v>1773</v>
      </c>
      <c r="E536" s="6" t="s">
        <v>64</v>
      </c>
      <c r="F536" s="6" t="s">
        <v>17</v>
      </c>
      <c r="H536" s="5">
        <v>46192.119849537034</v>
      </c>
      <c r="I536" s="6" t="s">
        <v>332</v>
      </c>
      <c r="J536" s="5">
        <v>46192.119849537034</v>
      </c>
      <c r="L536" s="6" t="s">
        <v>66</v>
      </c>
      <c r="M536" s="5"/>
      <c r="N536" s="5" t="s">
        <v>861</v>
      </c>
      <c r="O536" s="45" t="str">
        <f>_xlfn.XLOOKUP(TAB.IDEIAS.TOTAL[[#This Row],[Enviado por]],'BASE DMOS'!A:A,'BASE DMOS'!C:C,"Não encontrado")</f>
        <v>OPERAÇÃO</v>
      </c>
    </row>
    <row r="537" spans="1:16" ht="58" x14ac:dyDescent="0.35">
      <c r="A537" s="6" t="s">
        <v>1774</v>
      </c>
      <c r="B537" s="6" t="s">
        <v>1775</v>
      </c>
      <c r="C537" s="6" t="s">
        <v>148</v>
      </c>
      <c r="D537" s="6" t="s">
        <v>1776</v>
      </c>
      <c r="E537" s="6" t="s">
        <v>85</v>
      </c>
      <c r="F537" s="6" t="s">
        <v>17</v>
      </c>
      <c r="G537" s="6" t="s">
        <v>54</v>
      </c>
      <c r="H537" s="5">
        <v>46192.823692129627</v>
      </c>
      <c r="I537" s="6" t="s">
        <v>174</v>
      </c>
      <c r="J537" s="5">
        <v>46273.473680555559</v>
      </c>
      <c r="L537" s="6" t="s">
        <v>66</v>
      </c>
      <c r="M537" s="5"/>
      <c r="N537" s="5" t="s">
        <v>148</v>
      </c>
      <c r="O537" s="45" t="str">
        <f>_xlfn.XLOOKUP(TAB.IDEIAS.TOTAL[[#This Row],[Enviado por]],'BASE DMOS'!A:A,'BASE DMOS'!C:C,"Não encontrado")</f>
        <v>ADM/TÉCNICO/ASSISTENTE/ESTAG.</v>
      </c>
    </row>
    <row r="538" spans="1:16" ht="29" x14ac:dyDescent="0.35">
      <c r="A538" s="6" t="s">
        <v>1777</v>
      </c>
      <c r="B538" s="6" t="s">
        <v>1778</v>
      </c>
      <c r="C538" s="6" t="s">
        <v>184</v>
      </c>
      <c r="D538" s="6" t="s">
        <v>1778</v>
      </c>
      <c r="E538" s="6" t="s">
        <v>1620</v>
      </c>
      <c r="F538" s="6" t="s">
        <v>17</v>
      </c>
      <c r="G538" s="6" t="s">
        <v>54</v>
      </c>
      <c r="H538" s="5">
        <v>46193.551354166666</v>
      </c>
      <c r="I538" s="6" t="s">
        <v>25</v>
      </c>
      <c r="J538" s="5">
        <v>46198.656030092592</v>
      </c>
      <c r="K538" s="6" t="s">
        <v>294</v>
      </c>
      <c r="L538" s="6" t="s">
        <v>66</v>
      </c>
      <c r="M538" s="5"/>
      <c r="N538" s="43" t="s">
        <v>295</v>
      </c>
      <c r="O538" s="45" t="str">
        <f>_xlfn.XLOOKUP(TAB.IDEIAS.TOTAL[[#This Row],[Enviado por]],'BASE DMOS'!A:A,'BASE DMOS'!C:C,"Não encontrado")</f>
        <v>OPERAÇÃO</v>
      </c>
    </row>
    <row r="539" spans="1:16" ht="72.5" x14ac:dyDescent="0.35">
      <c r="A539" s="6" t="s">
        <v>1779</v>
      </c>
      <c r="B539" s="6" t="s">
        <v>1780</v>
      </c>
      <c r="C539" s="6" t="s">
        <v>184</v>
      </c>
      <c r="D539" s="6" t="s">
        <v>1781</v>
      </c>
      <c r="E539" s="6" t="s">
        <v>102</v>
      </c>
      <c r="F539" s="6" t="s">
        <v>17</v>
      </c>
      <c r="G539" s="6" t="s">
        <v>61</v>
      </c>
      <c r="H539" s="5">
        <v>46195.583067129628</v>
      </c>
      <c r="I539" s="6" t="s">
        <v>50</v>
      </c>
      <c r="J539" s="5">
        <v>46266.513564814813</v>
      </c>
      <c r="K539" s="6" t="s">
        <v>688</v>
      </c>
      <c r="L539" s="6" t="s">
        <v>66</v>
      </c>
      <c r="M539" s="5"/>
      <c r="N539" s="43" t="s">
        <v>392</v>
      </c>
      <c r="O539" s="45" t="str">
        <f>_xlfn.XLOOKUP(TAB.IDEIAS.TOTAL[[#This Row],[Enviado por]],'BASE DMOS'!A:A,'BASE DMOS'!C:C,"Não encontrado")</f>
        <v>OPERAÇÃO</v>
      </c>
    </row>
    <row r="540" spans="1:16" ht="145" x14ac:dyDescent="0.35">
      <c r="A540" s="6" t="s">
        <v>1782</v>
      </c>
      <c r="B540" s="6" t="s">
        <v>1783</v>
      </c>
      <c r="C540" s="6" t="s">
        <v>134</v>
      </c>
      <c r="D540" s="6" t="s">
        <v>1784</v>
      </c>
      <c r="E540" s="6" t="s">
        <v>688</v>
      </c>
      <c r="F540" s="6" t="s">
        <v>17</v>
      </c>
      <c r="G540" s="6" t="s">
        <v>24</v>
      </c>
      <c r="H540" s="5">
        <v>46195.620358796295</v>
      </c>
      <c r="I540" s="6" t="s">
        <v>86</v>
      </c>
      <c r="J540" s="5">
        <v>46195.621400462966</v>
      </c>
      <c r="K540" s="6" t="s">
        <v>688</v>
      </c>
      <c r="L540" s="6" t="s">
        <v>87</v>
      </c>
      <c r="M540" s="5">
        <v>46195.621400462966</v>
      </c>
      <c r="N540" s="5" t="s">
        <v>134</v>
      </c>
      <c r="O540" s="45" t="str">
        <f>_xlfn.XLOOKUP(TAB.IDEIAS.TOTAL[[#This Row],[Enviado por]],'BASE DMOS'!A:A,'BASE DMOS'!C:C,"Não encontrado")</f>
        <v>ADM/TÉCNICO/ASSISTENTE/ESTAG.</v>
      </c>
    </row>
    <row r="541" spans="1:16" ht="188.5" x14ac:dyDescent="0.35">
      <c r="A541" s="6" t="s">
        <v>1785</v>
      </c>
      <c r="B541" s="6" t="s">
        <v>1786</v>
      </c>
      <c r="C541" s="6" t="s">
        <v>861</v>
      </c>
      <c r="D541" s="6" t="s">
        <v>1787</v>
      </c>
      <c r="E541" s="6" t="s">
        <v>294</v>
      </c>
      <c r="F541" s="6" t="s">
        <v>17</v>
      </c>
      <c r="G541" s="6" t="s">
        <v>30</v>
      </c>
      <c r="H541" s="5">
        <v>46196.453587962962</v>
      </c>
      <c r="I541" s="6" t="s">
        <v>50</v>
      </c>
      <c r="J541" s="5">
        <v>46206.480081018519</v>
      </c>
      <c r="L541" s="6" t="s">
        <v>66</v>
      </c>
      <c r="M541" s="5"/>
      <c r="N541" s="5" t="s">
        <v>861</v>
      </c>
      <c r="O541" s="45" t="str">
        <f>_xlfn.XLOOKUP(TAB.IDEIAS.TOTAL[[#This Row],[Enviado por]],'BASE DMOS'!A:A,'BASE DMOS'!C:C,"Não encontrado")</f>
        <v>ADM/TÉCNICO/ASSISTENTE/ESTAG.</v>
      </c>
    </row>
    <row r="542" spans="1:16" ht="58" x14ac:dyDescent="0.35">
      <c r="A542" s="6" t="s">
        <v>1788</v>
      </c>
      <c r="B542" s="6" t="s">
        <v>1789</v>
      </c>
      <c r="C542" s="6" t="s">
        <v>184</v>
      </c>
      <c r="D542" s="6" t="s">
        <v>1790</v>
      </c>
      <c r="E542" s="6" t="s">
        <v>1707</v>
      </c>
      <c r="F542" s="6" t="s">
        <v>17</v>
      </c>
      <c r="G542" s="6" t="s">
        <v>24</v>
      </c>
      <c r="H542" s="5">
        <v>46196.608368055553</v>
      </c>
      <c r="I542" s="6" t="s">
        <v>1708</v>
      </c>
      <c r="J542" s="5">
        <v>46217.43577546296</v>
      </c>
      <c r="K542" s="6" t="s">
        <v>151</v>
      </c>
      <c r="L542" s="6" t="s">
        <v>66</v>
      </c>
      <c r="M542" s="5"/>
      <c r="N542" s="43" t="s">
        <v>186</v>
      </c>
      <c r="O542" s="45" t="str">
        <f>_xlfn.XLOOKUP(TAB.IDEIAS.TOTAL[[#This Row],[Enviado por]],'BASE DMOS'!A:A,'BASE DMOS'!C:C,"Não encontrado")</f>
        <v>ADM/TÉCNICO/ASSISTENTE/ESTAG.</v>
      </c>
    </row>
    <row r="543" spans="1:16" ht="58" x14ac:dyDescent="0.35">
      <c r="A543" s="6" t="s">
        <v>1791</v>
      </c>
      <c r="B543" s="6" t="s">
        <v>1792</v>
      </c>
      <c r="C543" s="6" t="s">
        <v>148</v>
      </c>
      <c r="D543" s="6" t="s">
        <v>1793</v>
      </c>
      <c r="E543" s="6" t="s">
        <v>90</v>
      </c>
      <c r="F543" s="6" t="s">
        <v>17</v>
      </c>
      <c r="G543" s="6" t="s">
        <v>30</v>
      </c>
      <c r="H543" s="5">
        <v>46197.307476851849</v>
      </c>
      <c r="I543" s="6" t="s">
        <v>31</v>
      </c>
      <c r="J543" s="5">
        <v>46274.569687499999</v>
      </c>
      <c r="L543" s="6" t="s">
        <v>66</v>
      </c>
      <c r="M543" s="5"/>
      <c r="N543" s="5" t="s">
        <v>148</v>
      </c>
      <c r="O543" s="45" t="str">
        <f>_xlfn.XLOOKUP(TAB.IDEIAS.TOTAL[[#This Row],[Enviado por]],'BASE DMOS'!A:A,'BASE DMOS'!C:C,"Não encontrado")</f>
        <v>OPERAÇÃO</v>
      </c>
    </row>
    <row r="544" spans="1:16" ht="43.5" x14ac:dyDescent="0.35">
      <c r="A544" s="6" t="s">
        <v>1794</v>
      </c>
      <c r="B544" s="6" t="s">
        <v>1795</v>
      </c>
      <c r="C544" s="6" t="s">
        <v>148</v>
      </c>
      <c r="D544" s="6" t="s">
        <v>1796</v>
      </c>
      <c r="E544" s="6" t="s">
        <v>117</v>
      </c>
      <c r="F544" s="6" t="s">
        <v>17</v>
      </c>
      <c r="G544" s="6" t="s">
        <v>61</v>
      </c>
      <c r="H544" s="5">
        <v>46197.444594907407</v>
      </c>
      <c r="I544" s="6" t="s">
        <v>50</v>
      </c>
      <c r="J544" s="5">
        <v>46282.581793981481</v>
      </c>
      <c r="L544" s="6" t="s">
        <v>66</v>
      </c>
      <c r="M544" s="5"/>
      <c r="N544" s="43" t="s">
        <v>392</v>
      </c>
      <c r="O544" s="45" t="str">
        <f>_xlfn.XLOOKUP(TAB.IDEIAS.TOTAL[[#This Row],[Enviado por]],'BASE DMOS'!A:A,'BASE DMOS'!C:C,"Não encontrado")</f>
        <v>ADM/TÉCNICO/ASSISTENTE/ESTAG.</v>
      </c>
      <c r="P544" t="s">
        <v>15</v>
      </c>
    </row>
    <row r="545" spans="1:15" ht="159.5" x14ac:dyDescent="0.35">
      <c r="A545" s="6" t="s">
        <v>1797</v>
      </c>
      <c r="B545" s="6" t="s">
        <v>1798</v>
      </c>
      <c r="C545" s="6" t="s">
        <v>15</v>
      </c>
      <c r="D545" s="6" t="s">
        <v>1799</v>
      </c>
      <c r="E545" s="6" t="s">
        <v>1651</v>
      </c>
      <c r="F545" s="6" t="s">
        <v>17</v>
      </c>
      <c r="G545" s="6" t="s">
        <v>61</v>
      </c>
      <c r="H545" s="5">
        <v>46197.532199074078</v>
      </c>
      <c r="I545" s="6" t="s">
        <v>98</v>
      </c>
      <c r="J545" s="5">
        <v>46269.646354166667</v>
      </c>
      <c r="L545" s="6" t="s">
        <v>66</v>
      </c>
      <c r="M545" s="5">
        <v>46269.646354166667</v>
      </c>
      <c r="N545" s="5" t="s">
        <v>15</v>
      </c>
      <c r="O545" s="45" t="str">
        <f>_xlfn.XLOOKUP(TAB.IDEIAS.TOTAL[[#This Row],[Enviado por]],'BASE DMOS'!A:A,'BASE DMOS'!C:C,"Não encontrado")</f>
        <v>ADM/TÉCNICO/ASSISTENTE/ESTAG.</v>
      </c>
    </row>
    <row r="546" spans="1:15" ht="72.5" x14ac:dyDescent="0.35">
      <c r="A546" s="6" t="s">
        <v>1800</v>
      </c>
      <c r="B546" s="6" t="s">
        <v>1801</v>
      </c>
      <c r="C546" s="6" t="s">
        <v>148</v>
      </c>
      <c r="D546" s="6" t="s">
        <v>1802</v>
      </c>
      <c r="E546" s="6" t="s">
        <v>145</v>
      </c>
      <c r="F546" s="6" t="s">
        <v>17</v>
      </c>
      <c r="G546" s="6" t="s">
        <v>61</v>
      </c>
      <c r="H546" s="5">
        <v>46198.344594907408</v>
      </c>
      <c r="I546" s="6" t="s">
        <v>25</v>
      </c>
      <c r="J546" s="5">
        <v>46211.434884259259</v>
      </c>
      <c r="K546" s="6" t="s">
        <v>58</v>
      </c>
      <c r="L546" s="6" t="s">
        <v>66</v>
      </c>
      <c r="M546" s="5"/>
      <c r="N546" s="5" t="s">
        <v>148</v>
      </c>
      <c r="O546" s="45" t="str">
        <f>_xlfn.XLOOKUP(TAB.IDEIAS.TOTAL[[#This Row],[Enviado por]],'BASE DMOS'!A:A,'BASE DMOS'!C:C,"Não encontrado")</f>
        <v>OPERAÇÃO</v>
      </c>
    </row>
    <row r="547" spans="1:15" ht="130.5" x14ac:dyDescent="0.35">
      <c r="A547" s="6" t="s">
        <v>1803</v>
      </c>
      <c r="B547" s="6" t="s">
        <v>1804</v>
      </c>
      <c r="C547" s="6" t="s">
        <v>861</v>
      </c>
      <c r="D547" s="6" t="s">
        <v>1805</v>
      </c>
      <c r="E547" s="6" t="s">
        <v>252</v>
      </c>
      <c r="F547" s="6" t="s">
        <v>17</v>
      </c>
      <c r="G547" s="6" t="s">
        <v>61</v>
      </c>
      <c r="H547" s="5">
        <v>46198.469004629631</v>
      </c>
      <c r="I547" s="6" t="s">
        <v>50</v>
      </c>
      <c r="J547" s="5">
        <v>46198.470937500002</v>
      </c>
      <c r="L547" s="6" t="s">
        <v>66</v>
      </c>
      <c r="M547" s="5"/>
      <c r="N547" s="5" t="s">
        <v>861</v>
      </c>
      <c r="O547" s="45" t="str">
        <f>_xlfn.XLOOKUP(TAB.IDEIAS.TOTAL[[#This Row],[Enviado por]],'BASE DMOS'!A:A,'BASE DMOS'!C:C,"Não encontrado")</f>
        <v>ADM/TÉCNICO/ASSISTENTE/ESTAG.</v>
      </c>
    </row>
    <row r="548" spans="1:15" ht="58" x14ac:dyDescent="0.35">
      <c r="A548" s="6" t="s">
        <v>1806</v>
      </c>
      <c r="B548" s="6" t="s">
        <v>1807</v>
      </c>
      <c r="C548" s="6" t="s">
        <v>861</v>
      </c>
      <c r="D548" s="6" t="s">
        <v>1808</v>
      </c>
      <c r="E548" s="6" t="s">
        <v>252</v>
      </c>
      <c r="F548" s="6" t="s">
        <v>17</v>
      </c>
      <c r="G548" s="6" t="s">
        <v>18</v>
      </c>
      <c r="H548" s="5">
        <v>46198.474189814813</v>
      </c>
      <c r="I548" s="6" t="s">
        <v>98</v>
      </c>
      <c r="J548" s="5">
        <v>46206.480497685188</v>
      </c>
      <c r="L548" s="6" t="s">
        <v>66</v>
      </c>
      <c r="M548" s="5"/>
      <c r="N548" s="5" t="s">
        <v>861</v>
      </c>
      <c r="O548" s="45" t="str">
        <f>_xlfn.XLOOKUP(TAB.IDEIAS.TOTAL[[#This Row],[Enviado por]],'BASE DMOS'!A:A,'BASE DMOS'!C:C,"Não encontrado")</f>
        <v>ADM/TÉCNICO/ASSISTENTE/ESTAG.</v>
      </c>
    </row>
    <row r="549" spans="1:15" ht="58" x14ac:dyDescent="0.35">
      <c r="A549" s="6" t="s">
        <v>1809</v>
      </c>
      <c r="B549" s="6" t="s">
        <v>1810</v>
      </c>
      <c r="C549" s="6" t="s">
        <v>15</v>
      </c>
      <c r="D549" s="6" t="s">
        <v>1811</v>
      </c>
      <c r="E549" s="6" t="s">
        <v>82</v>
      </c>
      <c r="F549" s="6" t="s">
        <v>17</v>
      </c>
      <c r="G549" s="6" t="s">
        <v>61</v>
      </c>
      <c r="H549" s="5">
        <v>46198.561481481483</v>
      </c>
      <c r="I549" s="6" t="s">
        <v>98</v>
      </c>
      <c r="J549" s="5">
        <v>46269.652037037034</v>
      </c>
      <c r="L549" s="6" t="s">
        <v>66</v>
      </c>
      <c r="M549" s="5">
        <v>46269.652037037034</v>
      </c>
      <c r="N549" s="5" t="s">
        <v>15</v>
      </c>
      <c r="O549" s="45" t="str">
        <f>_xlfn.XLOOKUP(TAB.IDEIAS.TOTAL[[#This Row],[Enviado por]],'BASE DMOS'!A:A,'BASE DMOS'!C:C,"Não encontrado")</f>
        <v>ADM/TÉCNICO/ASSISTENTE/ESTAG.</v>
      </c>
    </row>
    <row r="550" spans="1:15" ht="72.5" x14ac:dyDescent="0.35">
      <c r="A550" s="6" t="s">
        <v>1812</v>
      </c>
      <c r="B550" s="6" t="s">
        <v>1261</v>
      </c>
      <c r="C550" s="6" t="s">
        <v>184</v>
      </c>
      <c r="D550" s="6" t="s">
        <v>1813</v>
      </c>
      <c r="E550" s="6" t="s">
        <v>145</v>
      </c>
      <c r="F550" s="6" t="s">
        <v>17</v>
      </c>
      <c r="G550" s="6" t="s">
        <v>61</v>
      </c>
      <c r="H550" s="5">
        <v>46199.370706018519</v>
      </c>
      <c r="I550" s="6" t="s">
        <v>25</v>
      </c>
      <c r="J550" s="5">
        <v>46202.756944444445</v>
      </c>
      <c r="K550" s="6" t="s">
        <v>78</v>
      </c>
      <c r="L550" s="6" t="s">
        <v>66</v>
      </c>
      <c r="M550" s="5"/>
      <c r="N550" s="43" t="s">
        <v>392</v>
      </c>
      <c r="O550" s="45" t="str">
        <f>_xlfn.XLOOKUP(TAB.IDEIAS.TOTAL[[#This Row],[Enviado por]],'BASE DMOS'!A:A,'BASE DMOS'!C:C,"Não encontrado")</f>
        <v>OPERAÇÃO</v>
      </c>
    </row>
    <row r="551" spans="1:15" ht="29" x14ac:dyDescent="0.35">
      <c r="A551" s="6" t="s">
        <v>1814</v>
      </c>
      <c r="B551" s="6" t="s">
        <v>1815</v>
      </c>
      <c r="C551" s="6" t="s">
        <v>184</v>
      </c>
      <c r="D551" s="6" t="s">
        <v>1816</v>
      </c>
      <c r="E551" s="6" t="s">
        <v>117</v>
      </c>
      <c r="F551" s="6" t="s">
        <v>17</v>
      </c>
      <c r="G551" s="6" t="s">
        <v>24</v>
      </c>
      <c r="H551" s="5">
        <v>46199.471759259257</v>
      </c>
      <c r="I551" s="6" t="s">
        <v>50</v>
      </c>
      <c r="J551" s="5">
        <v>46251.45003472222</v>
      </c>
      <c r="K551" s="6" t="s">
        <v>82</v>
      </c>
      <c r="L551" s="6" t="s">
        <v>66</v>
      </c>
      <c r="M551" s="5"/>
      <c r="N551" s="43" t="s">
        <v>186</v>
      </c>
      <c r="O551" s="45" t="str">
        <f>_xlfn.XLOOKUP(TAB.IDEIAS.TOTAL[[#This Row],[Enviado por]],'BASE DMOS'!A:A,'BASE DMOS'!C:C,"Não encontrado")</f>
        <v>ADM/TÉCNICO/ASSISTENTE/ESTAG.</v>
      </c>
    </row>
    <row r="552" spans="1:15" ht="29" x14ac:dyDescent="0.35">
      <c r="A552" s="6" t="s">
        <v>1817</v>
      </c>
      <c r="B552" s="6" t="s">
        <v>1818</v>
      </c>
      <c r="C552" s="6" t="s">
        <v>861</v>
      </c>
      <c r="D552" s="6" t="s">
        <v>1819</v>
      </c>
      <c r="E552" s="6" t="s">
        <v>438</v>
      </c>
      <c r="F552" s="6" t="s">
        <v>17</v>
      </c>
      <c r="H552" s="5">
        <v>46204.859444444446</v>
      </c>
      <c r="I552" s="6" t="s">
        <v>25</v>
      </c>
      <c r="J552" s="5">
        <v>46204.859456018516</v>
      </c>
      <c r="L552" s="6" t="s">
        <v>66</v>
      </c>
      <c r="M552" s="5"/>
      <c r="N552" s="5" t="s">
        <v>861</v>
      </c>
      <c r="O552" s="45" t="str">
        <f>_xlfn.XLOOKUP(TAB.IDEIAS.TOTAL[[#This Row],[Enviado por]],'BASE DMOS'!A:A,'BASE DMOS'!C:C,"Não encontrado")</f>
        <v>OPERAÇÃO</v>
      </c>
    </row>
    <row r="553" spans="1:15" ht="29" x14ac:dyDescent="0.35">
      <c r="A553" s="6" t="s">
        <v>1820</v>
      </c>
      <c r="B553" s="6" t="s">
        <v>1821</v>
      </c>
      <c r="C553" s="6" t="s">
        <v>15</v>
      </c>
      <c r="D553" s="6" t="s">
        <v>1822</v>
      </c>
      <c r="E553" s="6" t="s">
        <v>77</v>
      </c>
      <c r="F553" s="6" t="s">
        <v>17</v>
      </c>
      <c r="G553" s="6" t="s">
        <v>61</v>
      </c>
      <c r="H553" s="5">
        <v>46205.762245370373</v>
      </c>
      <c r="I553" s="6" t="s">
        <v>174</v>
      </c>
      <c r="J553" s="5">
        <v>46274.626805555556</v>
      </c>
      <c r="L553" s="6" t="s">
        <v>66</v>
      </c>
      <c r="M553" s="5">
        <v>46274.626805555556</v>
      </c>
      <c r="N553" s="5" t="s">
        <v>15</v>
      </c>
      <c r="O553" s="45" t="str">
        <f>_xlfn.XLOOKUP(TAB.IDEIAS.TOTAL[[#This Row],[Enviado por]],'BASE DMOS'!A:A,'BASE DMOS'!C:C,"Não encontrado")</f>
        <v>OPERAÇÃO</v>
      </c>
    </row>
    <row r="554" spans="1:15" ht="72.5" x14ac:dyDescent="0.35">
      <c r="A554" s="6" t="s">
        <v>1823</v>
      </c>
      <c r="B554" s="6" t="s">
        <v>1824</v>
      </c>
      <c r="C554" s="6" t="s">
        <v>861</v>
      </c>
      <c r="D554" s="6" t="s">
        <v>1825</v>
      </c>
      <c r="E554" s="6" t="s">
        <v>85</v>
      </c>
      <c r="F554" s="6" t="s">
        <v>17</v>
      </c>
      <c r="G554" s="6" t="s">
        <v>18</v>
      </c>
      <c r="H554" s="5">
        <v>46205.852708333332</v>
      </c>
      <c r="I554" s="6" t="s">
        <v>1826</v>
      </c>
      <c r="J554" s="5">
        <v>46218.889594907407</v>
      </c>
      <c r="L554" s="6" t="s">
        <v>66</v>
      </c>
      <c r="M554" s="5"/>
      <c r="N554" s="5" t="s">
        <v>861</v>
      </c>
      <c r="O554" s="45" t="str">
        <f>_xlfn.XLOOKUP(TAB.IDEIAS.TOTAL[[#This Row],[Enviado por]],'BASE DMOS'!A:A,'BASE DMOS'!C:C,"Não encontrado")</f>
        <v>ADM/TÉCNICO/ASSISTENTE/ESTAG.</v>
      </c>
    </row>
    <row r="555" spans="1:15" ht="72.5" x14ac:dyDescent="0.35">
      <c r="A555" s="6" t="s">
        <v>1827</v>
      </c>
      <c r="B555" s="6" t="s">
        <v>1828</v>
      </c>
      <c r="C555" s="6" t="s">
        <v>861</v>
      </c>
      <c r="D555" s="6" t="s">
        <v>1825</v>
      </c>
      <c r="E555" s="6" t="s">
        <v>85</v>
      </c>
      <c r="F555" s="6" t="s">
        <v>17</v>
      </c>
      <c r="H555" s="5">
        <v>46205.853414351855</v>
      </c>
      <c r="I555" s="6" t="s">
        <v>1829</v>
      </c>
      <c r="J555" s="5">
        <v>46205.853414351855</v>
      </c>
      <c r="L555" s="6" t="s">
        <v>66</v>
      </c>
      <c r="M555" s="5"/>
      <c r="N555" s="5" t="s">
        <v>861</v>
      </c>
      <c r="O555" s="45" t="str">
        <f>_xlfn.XLOOKUP(TAB.IDEIAS.TOTAL[[#This Row],[Enviado por]],'BASE DMOS'!A:A,'BASE DMOS'!C:C,"Não encontrado")</f>
        <v>ADM/TÉCNICO/ASSISTENTE/ESTAG.</v>
      </c>
    </row>
    <row r="556" spans="1:15" ht="29" x14ac:dyDescent="0.35">
      <c r="A556" s="6" t="s">
        <v>1830</v>
      </c>
      <c r="B556" s="6" t="s">
        <v>1831</v>
      </c>
      <c r="C556" s="6" t="s">
        <v>184</v>
      </c>
      <c r="D556" s="6" t="s">
        <v>1832</v>
      </c>
      <c r="E556" s="6" t="s">
        <v>77</v>
      </c>
      <c r="F556" s="6" t="s">
        <v>17</v>
      </c>
      <c r="G556" s="6" t="s">
        <v>61</v>
      </c>
      <c r="H556" s="5">
        <v>46205.878888888888</v>
      </c>
      <c r="I556" s="6" t="s">
        <v>174</v>
      </c>
      <c r="J556" s="5">
        <v>46283.410127314812</v>
      </c>
      <c r="L556" s="6" t="s">
        <v>66</v>
      </c>
      <c r="M556" s="5"/>
      <c r="N556" s="5" t="s">
        <v>392</v>
      </c>
      <c r="O556" s="45" t="str">
        <f>_xlfn.XLOOKUP(TAB.IDEIAS.TOTAL[[#This Row],[Enviado por]],'BASE DMOS'!A:A,'BASE DMOS'!C:C,"Não encontrado")</f>
        <v>OPERAÇÃO</v>
      </c>
    </row>
    <row r="557" spans="1:15" ht="43.5" x14ac:dyDescent="0.35">
      <c r="A557" s="6" t="s">
        <v>1833</v>
      </c>
      <c r="B557" s="6" t="s">
        <v>1834</v>
      </c>
      <c r="C557" s="6" t="s">
        <v>184</v>
      </c>
      <c r="D557" s="6" t="s">
        <v>1835</v>
      </c>
      <c r="E557" s="6" t="s">
        <v>252</v>
      </c>
      <c r="F557" s="6" t="s">
        <v>17</v>
      </c>
      <c r="G557" s="6" t="s">
        <v>61</v>
      </c>
      <c r="H557" s="5">
        <v>46206.550405092596</v>
      </c>
      <c r="I557" s="6" t="s">
        <v>50</v>
      </c>
      <c r="J557" s="5">
        <v>46206.552789351852</v>
      </c>
      <c r="K557" s="6" t="s">
        <v>78</v>
      </c>
      <c r="L557" s="6" t="s">
        <v>66</v>
      </c>
      <c r="M557" s="5"/>
      <c r="N557" s="43" t="s">
        <v>392</v>
      </c>
      <c r="O557" s="45" t="str">
        <f>_xlfn.XLOOKUP(TAB.IDEIAS.TOTAL[[#This Row],[Enviado por]],'BASE DMOS'!A:A,'BASE DMOS'!C:C,"Não encontrado")</f>
        <v>ADM/TÉCNICO/ASSISTENTE/ESTAG.</v>
      </c>
    </row>
    <row r="558" spans="1:15" ht="58" x14ac:dyDescent="0.35">
      <c r="A558" s="6" t="s">
        <v>1836</v>
      </c>
      <c r="B558" s="6" t="s">
        <v>1837</v>
      </c>
      <c r="C558" s="6" t="s">
        <v>861</v>
      </c>
      <c r="D558" s="6" t="s">
        <v>1838</v>
      </c>
      <c r="E558" s="6" t="s">
        <v>287</v>
      </c>
      <c r="F558" s="6" t="s">
        <v>17</v>
      </c>
      <c r="H558" s="5">
        <v>46207.403981481482</v>
      </c>
      <c r="I558" s="6" t="s">
        <v>204</v>
      </c>
      <c r="J558" s="5">
        <v>46207.403981481482</v>
      </c>
      <c r="L558" s="6" t="s">
        <v>66</v>
      </c>
      <c r="M558" s="5"/>
      <c r="N558" s="5" t="s">
        <v>861</v>
      </c>
      <c r="O558" s="45" t="str">
        <f>_xlfn.XLOOKUP(TAB.IDEIAS.TOTAL[[#This Row],[Enviado por]],'BASE DMOS'!A:A,'BASE DMOS'!C:C,"Não encontrado")</f>
        <v>OPERAÇÃO</v>
      </c>
    </row>
    <row r="559" spans="1:15" ht="72.5" x14ac:dyDescent="0.35">
      <c r="A559" s="6" t="s">
        <v>1839</v>
      </c>
      <c r="B559" s="6" t="s">
        <v>1840</v>
      </c>
      <c r="C559" s="6" t="s">
        <v>184</v>
      </c>
      <c r="D559" s="6" t="s">
        <v>1841</v>
      </c>
      <c r="E559" s="6" t="s">
        <v>252</v>
      </c>
      <c r="F559" s="6" t="s">
        <v>17</v>
      </c>
      <c r="G559" s="6" t="s">
        <v>24</v>
      </c>
      <c r="H559" s="5">
        <v>46209.733807870369</v>
      </c>
      <c r="I559" s="6" t="s">
        <v>50</v>
      </c>
      <c r="J559" s="5">
        <v>46209.7343287037</v>
      </c>
      <c r="L559" s="6" t="s">
        <v>66</v>
      </c>
      <c r="M559" s="5"/>
      <c r="N559" s="43" t="s">
        <v>295</v>
      </c>
      <c r="O559" s="45" t="str">
        <f>_xlfn.XLOOKUP(TAB.IDEIAS.TOTAL[[#This Row],[Enviado por]],'BASE DMOS'!A:A,'BASE DMOS'!C:C,"Não encontrado")</f>
        <v>ADM/TÉCNICO/ASSISTENTE/ESTAG.</v>
      </c>
    </row>
    <row r="560" spans="1:15" ht="43.5" x14ac:dyDescent="0.35">
      <c r="A560" s="6" t="s">
        <v>1842</v>
      </c>
      <c r="B560" s="6" t="s">
        <v>1843</v>
      </c>
      <c r="C560" s="6" t="s">
        <v>184</v>
      </c>
      <c r="D560" s="6" t="s">
        <v>1844</v>
      </c>
      <c r="E560" s="6" t="s">
        <v>1620</v>
      </c>
      <c r="F560" s="6" t="s">
        <v>17</v>
      </c>
      <c r="G560" s="6" t="s">
        <v>602</v>
      </c>
      <c r="H560" s="5">
        <v>46212.401886574073</v>
      </c>
      <c r="I560" s="6" t="s">
        <v>50</v>
      </c>
      <c r="J560" s="5">
        <v>46217.527291666665</v>
      </c>
      <c r="L560" s="6" t="s">
        <v>66</v>
      </c>
      <c r="M560" s="5"/>
      <c r="N560" s="43" t="s">
        <v>186</v>
      </c>
      <c r="O560" s="45" t="str">
        <f>_xlfn.XLOOKUP(TAB.IDEIAS.TOTAL[[#This Row],[Enviado por]],'BASE DMOS'!A:A,'BASE DMOS'!C:C,"Não encontrado")</f>
        <v>OPERAÇÃO</v>
      </c>
    </row>
    <row r="561" spans="1:15" ht="43.5" x14ac:dyDescent="0.35">
      <c r="A561" s="6" t="s">
        <v>1845</v>
      </c>
      <c r="B561" s="6" t="s">
        <v>1846</v>
      </c>
      <c r="C561" s="6" t="s">
        <v>148</v>
      </c>
      <c r="D561" s="6" t="s">
        <v>1847</v>
      </c>
      <c r="E561" s="6" t="s">
        <v>85</v>
      </c>
      <c r="F561" s="6" t="s">
        <v>17</v>
      </c>
      <c r="G561" s="6" t="s">
        <v>24</v>
      </c>
      <c r="H561" s="5">
        <v>46218.896307870367</v>
      </c>
      <c r="I561" s="6" t="s">
        <v>25</v>
      </c>
      <c r="J561" s="5">
        <v>46237.474803240744</v>
      </c>
      <c r="L561" s="6" t="s">
        <v>66</v>
      </c>
      <c r="M561" s="5"/>
      <c r="N561" s="5" t="s">
        <v>148</v>
      </c>
      <c r="O561" s="45" t="str">
        <f>_xlfn.XLOOKUP(TAB.IDEIAS.TOTAL[[#This Row],[Enviado por]],'BASE DMOS'!A:A,'BASE DMOS'!C:C,"Não encontrado")</f>
        <v>ADM/TÉCNICO/ASSISTENTE/ESTAG.</v>
      </c>
    </row>
    <row r="562" spans="1:15" ht="87" x14ac:dyDescent="0.35">
      <c r="A562" s="6" t="s">
        <v>1848</v>
      </c>
      <c r="B562" s="6" t="s">
        <v>1849</v>
      </c>
      <c r="C562" s="6" t="s">
        <v>184</v>
      </c>
      <c r="D562" s="6" t="s">
        <v>1850</v>
      </c>
      <c r="E562" s="6" t="s">
        <v>85</v>
      </c>
      <c r="F562" s="6" t="s">
        <v>17</v>
      </c>
      <c r="G562" s="6" t="s">
        <v>61</v>
      </c>
      <c r="H562" s="5">
        <v>46223.833078703705</v>
      </c>
      <c r="I562" s="6" t="s">
        <v>1851</v>
      </c>
      <c r="J562" s="5">
        <v>46280.371828703705</v>
      </c>
      <c r="L562" s="6" t="s">
        <v>66</v>
      </c>
      <c r="M562" s="5"/>
      <c r="N562" s="5" t="s">
        <v>186</v>
      </c>
      <c r="O562" s="45" t="str">
        <f>_xlfn.XLOOKUP(TAB.IDEIAS.TOTAL[[#This Row],[Enviado por]],'BASE DMOS'!A:A,'BASE DMOS'!C:C,"Não encontrado")</f>
        <v>ADM/TÉCNICO/ASSISTENTE/ESTAG.</v>
      </c>
    </row>
    <row r="563" spans="1:15" ht="43.5" x14ac:dyDescent="0.35">
      <c r="A563" s="6" t="s">
        <v>1852</v>
      </c>
      <c r="B563" s="6" t="s">
        <v>1853</v>
      </c>
      <c r="C563" s="6" t="s">
        <v>184</v>
      </c>
      <c r="D563" s="6" t="s">
        <v>1854</v>
      </c>
      <c r="E563" s="6" t="s">
        <v>85</v>
      </c>
      <c r="F563" s="6" t="s">
        <v>17</v>
      </c>
      <c r="G563" s="6" t="s">
        <v>61</v>
      </c>
      <c r="H563" s="5">
        <v>46224.793020833335</v>
      </c>
      <c r="I563" s="6" t="s">
        <v>1855</v>
      </c>
      <c r="J563" s="5">
        <v>46280.371087962965</v>
      </c>
      <c r="L563" s="6" t="s">
        <v>66</v>
      </c>
      <c r="M563" s="5"/>
      <c r="N563" s="5" t="s">
        <v>186</v>
      </c>
      <c r="O563" s="45" t="str">
        <f>_xlfn.XLOOKUP(TAB.IDEIAS.TOTAL[[#This Row],[Enviado por]],'BASE DMOS'!A:A,'BASE DMOS'!C:C,"Não encontrado")</f>
        <v>ADM/TÉCNICO/ASSISTENTE/ESTAG.</v>
      </c>
    </row>
    <row r="564" spans="1:15" ht="29" x14ac:dyDescent="0.35">
      <c r="A564" s="6" t="s">
        <v>1856</v>
      </c>
      <c r="B564" s="6" t="s">
        <v>1857</v>
      </c>
      <c r="C564" s="6" t="s">
        <v>861</v>
      </c>
      <c r="D564" s="6" t="s">
        <v>1858</v>
      </c>
      <c r="E564" s="6" t="s">
        <v>637</v>
      </c>
      <c r="F564" s="6" t="s">
        <v>17</v>
      </c>
      <c r="G564" s="6" t="s">
        <v>124</v>
      </c>
      <c r="H564" s="5">
        <v>46226.729062500002</v>
      </c>
      <c r="I564" s="6" t="s">
        <v>25</v>
      </c>
      <c r="J564" s="5">
        <v>46226.736863425926</v>
      </c>
      <c r="L564" s="6" t="s">
        <v>66</v>
      </c>
      <c r="M564" s="5"/>
      <c r="N564" s="5" t="s">
        <v>861</v>
      </c>
      <c r="O564" s="45" t="str">
        <f>_xlfn.XLOOKUP(TAB.IDEIAS.TOTAL[[#This Row],[Enviado por]],'BASE DMOS'!A:A,'BASE DMOS'!C:C,"Não encontrado")</f>
        <v>ADM/TÉCNICO/ASSISTENTE/ESTAG.</v>
      </c>
    </row>
    <row r="565" spans="1:15" ht="72.5" x14ac:dyDescent="0.35">
      <c r="A565" s="6" t="s">
        <v>1859</v>
      </c>
      <c r="B565" s="6" t="s">
        <v>1860</v>
      </c>
      <c r="C565" s="6" t="s">
        <v>861</v>
      </c>
      <c r="D565" s="6" t="s">
        <v>1861</v>
      </c>
      <c r="E565" s="6" t="s">
        <v>637</v>
      </c>
      <c r="F565" s="6" t="s">
        <v>17</v>
      </c>
      <c r="G565" s="6" t="s">
        <v>30</v>
      </c>
      <c r="H565" s="5">
        <v>46226.731782407405</v>
      </c>
      <c r="I565" s="6" t="s">
        <v>1715</v>
      </c>
      <c r="J565" s="5">
        <v>46280.388831018521</v>
      </c>
      <c r="L565" s="6" t="s">
        <v>66</v>
      </c>
      <c r="M565" s="5"/>
      <c r="N565" s="5" t="s">
        <v>861</v>
      </c>
      <c r="O565" s="45" t="str">
        <f>_xlfn.XLOOKUP(TAB.IDEIAS.TOTAL[[#This Row],[Enviado por]],'BASE DMOS'!A:A,'BASE DMOS'!C:C,"Não encontrado")</f>
        <v>ADM/TÉCNICO/ASSISTENTE/ESTAG.</v>
      </c>
    </row>
    <row r="566" spans="1:15" ht="87" x14ac:dyDescent="0.35">
      <c r="A566" s="6" t="s">
        <v>1862</v>
      </c>
      <c r="B566" s="6" t="s">
        <v>1863</v>
      </c>
      <c r="C566" s="6" t="s">
        <v>861</v>
      </c>
      <c r="D566" s="6" t="s">
        <v>1864</v>
      </c>
      <c r="E566" s="6" t="s">
        <v>85</v>
      </c>
      <c r="F566" s="6" t="s">
        <v>17</v>
      </c>
      <c r="G566" s="6" t="s">
        <v>24</v>
      </c>
      <c r="H566" s="5">
        <v>46226.844328703701</v>
      </c>
      <c r="I566" s="6" t="s">
        <v>25</v>
      </c>
      <c r="J566" s="5">
        <v>46226.84443287037</v>
      </c>
      <c r="L566" s="6" t="s">
        <v>66</v>
      </c>
      <c r="M566" s="5"/>
      <c r="N566" s="5" t="s">
        <v>861</v>
      </c>
      <c r="O566" s="45" t="str">
        <f>_xlfn.XLOOKUP(TAB.IDEIAS.TOTAL[[#This Row],[Enviado por]],'BASE DMOS'!A:A,'BASE DMOS'!C:C,"Não encontrado")</f>
        <v>ADM/TÉCNICO/ASSISTENTE/ESTAG.</v>
      </c>
    </row>
    <row r="567" spans="1:15" ht="29" x14ac:dyDescent="0.35">
      <c r="A567" s="6" t="s">
        <v>1865</v>
      </c>
      <c r="B567" s="6" t="s">
        <v>1866</v>
      </c>
      <c r="C567" s="6" t="s">
        <v>861</v>
      </c>
      <c r="D567" s="6" t="s">
        <v>1867</v>
      </c>
      <c r="E567" s="6" t="s">
        <v>1620</v>
      </c>
      <c r="F567" s="6" t="s">
        <v>17</v>
      </c>
      <c r="H567" s="5">
        <v>46227.488530092596</v>
      </c>
      <c r="I567" s="6" t="s">
        <v>50</v>
      </c>
      <c r="J567" s="5">
        <v>46227.488541666666</v>
      </c>
      <c r="L567" s="6" t="s">
        <v>66</v>
      </c>
      <c r="M567" s="5"/>
      <c r="N567" s="5" t="s">
        <v>861</v>
      </c>
      <c r="O567" s="45" t="str">
        <f>_xlfn.XLOOKUP(TAB.IDEIAS.TOTAL[[#This Row],[Enviado por]],'BASE DMOS'!A:A,'BASE DMOS'!C:C,"Não encontrado")</f>
        <v>OPERAÇÃO</v>
      </c>
    </row>
    <row r="568" spans="1:15" ht="217.5" x14ac:dyDescent="0.35">
      <c r="A568" s="6" t="s">
        <v>1868</v>
      </c>
      <c r="B568" s="6" t="s">
        <v>1869</v>
      </c>
      <c r="C568" s="6" t="s">
        <v>15</v>
      </c>
      <c r="D568" s="6" t="s">
        <v>1870</v>
      </c>
      <c r="E568" s="6" t="s">
        <v>108</v>
      </c>
      <c r="F568" s="6" t="s">
        <v>17</v>
      </c>
      <c r="G568" s="6" t="s">
        <v>61</v>
      </c>
      <c r="H568" s="5">
        <v>46228.72142361111</v>
      </c>
      <c r="I568" s="6" t="s">
        <v>19</v>
      </c>
      <c r="J568" s="5">
        <v>46231.480300925927</v>
      </c>
      <c r="L568" s="6" t="s">
        <v>66</v>
      </c>
      <c r="M568" s="5">
        <v>46231.480300925927</v>
      </c>
      <c r="N568" s="5" t="s">
        <v>15</v>
      </c>
      <c r="O568" s="45" t="str">
        <f>_xlfn.XLOOKUP(TAB.IDEIAS.TOTAL[[#This Row],[Enviado por]],'BASE DMOS'!A:A,'BASE DMOS'!C:C,"Não encontrado")</f>
        <v>ADM/TÉCNICO/ASSISTENTE/ESTAG.</v>
      </c>
    </row>
    <row r="569" spans="1:15" ht="58" x14ac:dyDescent="0.35">
      <c r="A569" s="6" t="s">
        <v>1871</v>
      </c>
      <c r="B569" s="6" t="s">
        <v>1872</v>
      </c>
      <c r="C569" s="6" t="s">
        <v>861</v>
      </c>
      <c r="D569" s="6" t="s">
        <v>1873</v>
      </c>
      <c r="E569" s="6" t="s">
        <v>1707</v>
      </c>
      <c r="F569" s="6" t="s">
        <v>17</v>
      </c>
      <c r="H569" s="5">
        <v>46231.497037037036</v>
      </c>
      <c r="I569" s="6" t="s">
        <v>1708</v>
      </c>
      <c r="J569" s="5">
        <v>46282.749201388891</v>
      </c>
      <c r="L569" s="6" t="s">
        <v>66</v>
      </c>
      <c r="M569" s="5"/>
      <c r="N569" s="5" t="s">
        <v>861</v>
      </c>
      <c r="O569" s="45" t="str">
        <f>_xlfn.XLOOKUP(TAB.IDEIAS.TOTAL[[#This Row],[Enviado por]],'BASE DMOS'!A:A,'BASE DMOS'!C:C,"Não encontrado")</f>
        <v>ADM/TÉCNICO/ASSISTENTE/ESTAG.</v>
      </c>
    </row>
    <row r="570" spans="1:15" ht="43.5" x14ac:dyDescent="0.35">
      <c r="A570" s="6" t="s">
        <v>1874</v>
      </c>
      <c r="B570" s="6" t="s">
        <v>1875</v>
      </c>
      <c r="C570" s="6" t="s">
        <v>148</v>
      </c>
      <c r="D570" s="6" t="s">
        <v>1876</v>
      </c>
      <c r="E570" s="6" t="s">
        <v>108</v>
      </c>
      <c r="F570" s="6" t="s">
        <v>17</v>
      </c>
      <c r="G570" s="6" t="s">
        <v>61</v>
      </c>
      <c r="H570" s="5">
        <v>46233.611331018517</v>
      </c>
      <c r="I570" s="6" t="s">
        <v>19</v>
      </c>
      <c r="J570" s="5">
        <v>46251.445428240739</v>
      </c>
      <c r="L570" s="6" t="s">
        <v>66</v>
      </c>
      <c r="M570" s="5"/>
      <c r="N570" s="5" t="s">
        <v>148</v>
      </c>
      <c r="O570" s="45" t="str">
        <f>_xlfn.XLOOKUP(TAB.IDEIAS.TOTAL[[#This Row],[Enviado por]],'BASE DMOS'!A:A,'BASE DMOS'!C:C,"Não encontrado")</f>
        <v>ADM/TÉCNICO/ASSISTENTE/ESTAG.</v>
      </c>
    </row>
    <row r="571" spans="1:15" ht="43.5" x14ac:dyDescent="0.35">
      <c r="A571" s="6" t="s">
        <v>1877</v>
      </c>
      <c r="B571" s="6" t="s">
        <v>1878</v>
      </c>
      <c r="C571" s="6" t="s">
        <v>148</v>
      </c>
      <c r="D571" s="6" t="s">
        <v>1879</v>
      </c>
      <c r="E571" s="6" t="s">
        <v>562</v>
      </c>
      <c r="F571" s="6" t="s">
        <v>17</v>
      </c>
      <c r="G571" s="6" t="s">
        <v>24</v>
      </c>
      <c r="H571" s="5">
        <v>46233.617071759261</v>
      </c>
      <c r="I571" s="6" t="s">
        <v>50</v>
      </c>
      <c r="J571" s="5">
        <v>46286.449224537035</v>
      </c>
      <c r="L571" s="6" t="s">
        <v>66</v>
      </c>
      <c r="M571" s="5"/>
      <c r="N571" s="43" t="s">
        <v>15</v>
      </c>
      <c r="O571" s="45" t="str">
        <f>_xlfn.XLOOKUP(TAB.IDEIAS.TOTAL[[#This Row],[Enviado por]],'BASE DMOS'!A:A,'BASE DMOS'!C:C,"Não encontrado")</f>
        <v>OPERAÇÃO</v>
      </c>
    </row>
    <row r="572" spans="1:15" ht="29" x14ac:dyDescent="0.35">
      <c r="A572" s="6" t="s">
        <v>1880</v>
      </c>
      <c r="B572" s="6" t="s">
        <v>1881</v>
      </c>
      <c r="C572" s="6" t="s">
        <v>148</v>
      </c>
      <c r="D572" s="6" t="s">
        <v>1882</v>
      </c>
      <c r="E572" s="6" t="s">
        <v>562</v>
      </c>
      <c r="F572" s="6" t="s">
        <v>17</v>
      </c>
      <c r="G572" s="6" t="s">
        <v>61</v>
      </c>
      <c r="H572" s="5">
        <v>46233.626018518517</v>
      </c>
      <c r="I572" s="6" t="s">
        <v>1883</v>
      </c>
      <c r="J572" s="5">
        <v>46269.483182870368</v>
      </c>
      <c r="L572" s="6" t="s">
        <v>66</v>
      </c>
      <c r="M572" s="5"/>
      <c r="N572" s="5" t="s">
        <v>148</v>
      </c>
      <c r="O572" s="45" t="str">
        <f>_xlfn.XLOOKUP(TAB.IDEIAS.TOTAL[[#This Row],[Enviado por]],'BASE DMOS'!A:A,'BASE DMOS'!C:C,"Não encontrado")</f>
        <v>OPERAÇÃO</v>
      </c>
    </row>
    <row r="573" spans="1:15" ht="29" x14ac:dyDescent="0.35">
      <c r="A573" s="6" t="s">
        <v>1884</v>
      </c>
      <c r="B573" s="6" t="s">
        <v>1885</v>
      </c>
      <c r="C573" s="6" t="s">
        <v>148</v>
      </c>
      <c r="D573" s="6" t="s">
        <v>1886</v>
      </c>
      <c r="E573" s="6" t="s">
        <v>85</v>
      </c>
      <c r="F573" s="6" t="s">
        <v>17</v>
      </c>
      <c r="G573" s="6" t="s">
        <v>24</v>
      </c>
      <c r="H573" s="5">
        <v>46235.85601851852</v>
      </c>
      <c r="I573" s="6" t="s">
        <v>25</v>
      </c>
      <c r="J573" s="5">
        <v>46237.475532407407</v>
      </c>
      <c r="L573" s="6" t="s">
        <v>66</v>
      </c>
      <c r="M573" s="5"/>
      <c r="N573" s="5" t="s">
        <v>148</v>
      </c>
      <c r="O573" s="45" t="str">
        <f>_xlfn.XLOOKUP(TAB.IDEIAS.TOTAL[[#This Row],[Enviado por]],'BASE DMOS'!A:A,'BASE DMOS'!C:C,"Não encontrado")</f>
        <v>ADM/TÉCNICO/ASSISTENTE/ESTAG.</v>
      </c>
    </row>
    <row r="574" spans="1:15" ht="29" x14ac:dyDescent="0.35">
      <c r="A574" s="6" t="s">
        <v>1887</v>
      </c>
      <c r="B574" s="6" t="s">
        <v>1888</v>
      </c>
      <c r="C574" s="6" t="s">
        <v>184</v>
      </c>
      <c r="D574" s="6" t="s">
        <v>1889</v>
      </c>
      <c r="E574" s="6" t="s">
        <v>252</v>
      </c>
      <c r="F574" s="6" t="s">
        <v>17</v>
      </c>
      <c r="G574" s="6" t="s">
        <v>18</v>
      </c>
      <c r="H574" s="5">
        <v>46239.327326388891</v>
      </c>
      <c r="I574" s="6" t="s">
        <v>25</v>
      </c>
      <c r="J574" s="5">
        <v>46266.503495370373</v>
      </c>
      <c r="K574" s="6" t="s">
        <v>117</v>
      </c>
      <c r="L574" s="6" t="s">
        <v>66</v>
      </c>
      <c r="M574" s="5"/>
      <c r="N574" s="43" t="s">
        <v>186</v>
      </c>
      <c r="O574" s="45" t="str">
        <f>_xlfn.XLOOKUP(TAB.IDEIAS.TOTAL[[#This Row],[Enviado por]],'BASE DMOS'!A:A,'BASE DMOS'!C:C,"Não encontrado")</f>
        <v>ADM/TÉCNICO/ASSISTENTE/ESTAG.</v>
      </c>
    </row>
    <row r="575" spans="1:15" ht="43.5" x14ac:dyDescent="0.35">
      <c r="A575" s="6" t="s">
        <v>1890</v>
      </c>
      <c r="B575" s="6" t="s">
        <v>1891</v>
      </c>
      <c r="C575" s="6" t="s">
        <v>184</v>
      </c>
      <c r="D575" s="6" t="s">
        <v>1892</v>
      </c>
      <c r="E575" s="6" t="s">
        <v>252</v>
      </c>
      <c r="F575" s="6" t="s">
        <v>17</v>
      </c>
      <c r="G575" s="6" t="s">
        <v>61</v>
      </c>
      <c r="H575" s="5">
        <v>46239.329340277778</v>
      </c>
      <c r="I575" s="6" t="s">
        <v>25</v>
      </c>
      <c r="J575" s="5">
        <v>46266.50335648148</v>
      </c>
      <c r="K575" s="6" t="s">
        <v>117</v>
      </c>
      <c r="L575" s="6" t="s">
        <v>66</v>
      </c>
      <c r="M575" s="5"/>
      <c r="N575" s="43" t="s">
        <v>186</v>
      </c>
      <c r="O575" s="45" t="str">
        <f>_xlfn.XLOOKUP(TAB.IDEIAS.TOTAL[[#This Row],[Enviado por]],'BASE DMOS'!A:A,'BASE DMOS'!C:C,"Não encontrado")</f>
        <v>ADM/TÉCNICO/ASSISTENTE/ESTAG.</v>
      </c>
    </row>
    <row r="576" spans="1:15" ht="58" x14ac:dyDescent="0.35">
      <c r="A576" s="6" t="s">
        <v>1893</v>
      </c>
      <c r="B576" s="6" t="s">
        <v>1894</v>
      </c>
      <c r="C576" s="6" t="s">
        <v>861</v>
      </c>
      <c r="D576" s="6" t="s">
        <v>1895</v>
      </c>
      <c r="E576" s="6" t="s">
        <v>562</v>
      </c>
      <c r="F576" s="6" t="s">
        <v>17</v>
      </c>
      <c r="G576" s="6" t="s">
        <v>24</v>
      </c>
      <c r="H576" s="5">
        <v>46239.521053240744</v>
      </c>
      <c r="I576" s="6" t="s">
        <v>1883</v>
      </c>
      <c r="J576" s="5">
        <v>46251.382025462961</v>
      </c>
      <c r="L576" s="6" t="s">
        <v>66</v>
      </c>
      <c r="M576" s="5"/>
      <c r="N576" s="5" t="s">
        <v>861</v>
      </c>
      <c r="O576" s="45" t="str">
        <f>_xlfn.XLOOKUP(TAB.IDEIAS.TOTAL[[#This Row],[Enviado por]],'BASE DMOS'!A:A,'BASE DMOS'!C:C,"Não encontrado")</f>
        <v>OPERAÇÃO</v>
      </c>
    </row>
    <row r="577" spans="1:15" ht="87" x14ac:dyDescent="0.35">
      <c r="A577" s="6" t="s">
        <v>1896</v>
      </c>
      <c r="B577" s="6" t="s">
        <v>1897</v>
      </c>
      <c r="C577" s="6" t="s">
        <v>148</v>
      </c>
      <c r="D577" s="6" t="s">
        <v>1898</v>
      </c>
      <c r="E577" s="6" t="s">
        <v>1707</v>
      </c>
      <c r="F577" s="6" t="s">
        <v>17</v>
      </c>
      <c r="G577" s="6" t="s">
        <v>61</v>
      </c>
      <c r="H577" s="5">
        <v>46240.484583333331</v>
      </c>
      <c r="I577" s="6" t="s">
        <v>1708</v>
      </c>
      <c r="J577" s="5">
        <v>46266.44568287037</v>
      </c>
      <c r="K577" s="6" t="s">
        <v>1707</v>
      </c>
      <c r="L577" s="6" t="s">
        <v>66</v>
      </c>
      <c r="M577" s="5"/>
      <c r="N577" s="5" t="s">
        <v>148</v>
      </c>
      <c r="O577" s="45" t="str">
        <f>_xlfn.XLOOKUP(TAB.IDEIAS.TOTAL[[#This Row],[Enviado por]],'BASE DMOS'!A:A,'BASE DMOS'!C:C,"Não encontrado")</f>
        <v>ADM/TÉCNICO/ASSISTENTE/ESTAG.</v>
      </c>
    </row>
    <row r="578" spans="1:15" ht="29" x14ac:dyDescent="0.35">
      <c r="A578" s="6" t="s">
        <v>1899</v>
      </c>
      <c r="B578" s="6" t="s">
        <v>1900</v>
      </c>
      <c r="C578" s="6" t="s">
        <v>861</v>
      </c>
      <c r="D578" s="6" t="s">
        <v>1901</v>
      </c>
      <c r="E578" s="6" t="s">
        <v>562</v>
      </c>
      <c r="F578" s="6" t="s">
        <v>17</v>
      </c>
      <c r="H578" s="5">
        <v>46244.554143518515</v>
      </c>
      <c r="I578" s="6" t="s">
        <v>227</v>
      </c>
      <c r="J578" s="5">
        <v>46244.554155092592</v>
      </c>
      <c r="L578" s="6" t="s">
        <v>66</v>
      </c>
      <c r="M578" s="5"/>
      <c r="N578" s="5" t="s">
        <v>861</v>
      </c>
      <c r="O578" s="45" t="str">
        <f>_xlfn.XLOOKUP(TAB.IDEIAS.TOTAL[[#This Row],[Enviado por]],'BASE DMOS'!A:A,'BASE DMOS'!C:C,"Não encontrado")</f>
        <v>OPERAÇÃO</v>
      </c>
    </row>
    <row r="579" spans="1:15" ht="43.5" x14ac:dyDescent="0.35">
      <c r="A579" s="6" t="s">
        <v>1902</v>
      </c>
      <c r="B579" s="6" t="s">
        <v>1903</v>
      </c>
      <c r="C579" s="6" t="s">
        <v>861</v>
      </c>
      <c r="D579" s="6" t="s">
        <v>1904</v>
      </c>
      <c r="E579" s="6" t="s">
        <v>64</v>
      </c>
      <c r="F579" s="6" t="s">
        <v>17</v>
      </c>
      <c r="H579" s="5">
        <v>46245.00545138889</v>
      </c>
      <c r="I579" s="6" t="s">
        <v>332</v>
      </c>
      <c r="J579" s="5">
        <v>46245.005462962959</v>
      </c>
      <c r="L579" s="6" t="s">
        <v>66</v>
      </c>
      <c r="M579" s="5"/>
      <c r="N579" s="5" t="s">
        <v>861</v>
      </c>
      <c r="O579" s="45" t="str">
        <f>_xlfn.XLOOKUP(TAB.IDEIAS.TOTAL[[#This Row],[Enviado por]],'BASE DMOS'!A:A,'BASE DMOS'!C:C,"Não encontrado")</f>
        <v>OPERAÇÃO</v>
      </c>
    </row>
    <row r="580" spans="1:15" ht="101.5" x14ac:dyDescent="0.35">
      <c r="A580" s="6" t="s">
        <v>1905</v>
      </c>
      <c r="B580" s="6" t="s">
        <v>1906</v>
      </c>
      <c r="C580" s="6" t="s">
        <v>861</v>
      </c>
      <c r="D580" s="6" t="s">
        <v>1907</v>
      </c>
      <c r="E580" s="6" t="s">
        <v>64</v>
      </c>
      <c r="F580" s="6" t="s">
        <v>17</v>
      </c>
      <c r="H580" s="5">
        <v>46245.010636574072</v>
      </c>
      <c r="I580" s="6" t="s">
        <v>332</v>
      </c>
      <c r="J580" s="5">
        <v>46245.010636574072</v>
      </c>
      <c r="L580" s="6" t="s">
        <v>66</v>
      </c>
      <c r="M580" s="5"/>
      <c r="N580" s="5" t="s">
        <v>861</v>
      </c>
      <c r="O580" s="45" t="str">
        <f>_xlfn.XLOOKUP(TAB.IDEIAS.TOTAL[[#This Row],[Enviado por]],'BASE DMOS'!A:A,'BASE DMOS'!C:C,"Não encontrado")</f>
        <v>OPERAÇÃO</v>
      </c>
    </row>
    <row r="581" spans="1:15" ht="145" x14ac:dyDescent="0.35">
      <c r="A581" s="6" t="s">
        <v>1908</v>
      </c>
      <c r="B581" s="6" t="s">
        <v>1909</v>
      </c>
      <c r="C581" s="6" t="s">
        <v>148</v>
      </c>
      <c r="D581" s="6" t="s">
        <v>1910</v>
      </c>
      <c r="E581" s="6" t="s">
        <v>1707</v>
      </c>
      <c r="F581" s="6" t="s">
        <v>17</v>
      </c>
      <c r="G581" s="6" t="s">
        <v>61</v>
      </c>
      <c r="H581" s="5">
        <v>46245.430439814816</v>
      </c>
      <c r="I581" s="6" t="s">
        <v>1708</v>
      </c>
      <c r="J581" s="5">
        <v>46266.446030092593</v>
      </c>
      <c r="K581" s="6" t="s">
        <v>1707</v>
      </c>
      <c r="L581" s="6" t="s">
        <v>66</v>
      </c>
      <c r="M581" s="5"/>
      <c r="N581" s="5" t="s">
        <v>148</v>
      </c>
      <c r="O581" s="45" t="str">
        <f>_xlfn.XLOOKUP(TAB.IDEIAS.TOTAL[[#This Row],[Enviado por]],'BASE DMOS'!A:A,'BASE DMOS'!C:C,"Não encontrado")</f>
        <v>ADM/TÉCNICO/ASSISTENTE/ESTAG.</v>
      </c>
    </row>
    <row r="582" spans="1:15" ht="125.25" customHeight="1" x14ac:dyDescent="0.35">
      <c r="A582" s="6" t="s">
        <v>1911</v>
      </c>
      <c r="B582" s="6" t="s">
        <v>1912</v>
      </c>
      <c r="C582" s="6" t="s">
        <v>184</v>
      </c>
      <c r="D582" s="6" t="s">
        <v>1913</v>
      </c>
      <c r="E582" s="6" t="s">
        <v>1707</v>
      </c>
      <c r="F582" s="6" t="s">
        <v>17</v>
      </c>
      <c r="G582" s="6" t="s">
        <v>61</v>
      </c>
      <c r="H582" s="5">
        <v>46245.437384259261</v>
      </c>
      <c r="I582" s="6" t="s">
        <v>1708</v>
      </c>
      <c r="J582" s="5">
        <v>46251.449513888889</v>
      </c>
      <c r="K582" s="6" t="s">
        <v>1707</v>
      </c>
      <c r="L582" s="6" t="s">
        <v>66</v>
      </c>
      <c r="M582" s="5"/>
      <c r="N582" s="43" t="s">
        <v>186</v>
      </c>
      <c r="O582" s="45" t="str">
        <f>_xlfn.XLOOKUP(TAB.IDEIAS.TOTAL[[#This Row],[Enviado por]],'BASE DMOS'!A:A,'BASE DMOS'!C:C,"Não encontrado")</f>
        <v>ADM/TÉCNICO/ASSISTENTE/ESTAG.</v>
      </c>
    </row>
    <row r="583" spans="1:15" ht="58" x14ac:dyDescent="0.35">
      <c r="A583" s="6" t="s">
        <v>1914</v>
      </c>
      <c r="B583" s="6" t="s">
        <v>1915</v>
      </c>
      <c r="C583" s="6" t="s">
        <v>861</v>
      </c>
      <c r="D583" s="6" t="s">
        <v>1916</v>
      </c>
      <c r="E583" s="6" t="s">
        <v>53</v>
      </c>
      <c r="F583" s="6" t="s">
        <v>17</v>
      </c>
      <c r="H583" s="5">
        <v>46245.489074074074</v>
      </c>
      <c r="I583" s="6" t="s">
        <v>36</v>
      </c>
      <c r="J583" s="5">
        <v>46245.489085648151</v>
      </c>
      <c r="L583" s="6" t="s">
        <v>66</v>
      </c>
      <c r="M583" s="5"/>
      <c r="N583" s="5" t="s">
        <v>861</v>
      </c>
      <c r="O583" s="45" t="str">
        <f>_xlfn.XLOOKUP(TAB.IDEIAS.TOTAL[[#This Row],[Enviado por]],'BASE DMOS'!A:A,'BASE DMOS'!C:C,"Não encontrado")</f>
        <v>OPERAÇÃO</v>
      </c>
    </row>
    <row r="584" spans="1:15" ht="43.5" x14ac:dyDescent="0.35">
      <c r="A584" s="6" t="s">
        <v>1917</v>
      </c>
      <c r="B584" s="6" t="s">
        <v>1918</v>
      </c>
      <c r="C584" s="6" t="s">
        <v>861</v>
      </c>
      <c r="D584" s="6" t="s">
        <v>1919</v>
      </c>
      <c r="E584" s="6" t="s">
        <v>46</v>
      </c>
      <c r="F584" s="6" t="s">
        <v>17</v>
      </c>
      <c r="H584" s="5">
        <v>46246.728703703702</v>
      </c>
      <c r="I584" s="6" t="s">
        <v>19</v>
      </c>
      <c r="J584" s="5">
        <v>46246.728703703702</v>
      </c>
      <c r="L584" s="6" t="s">
        <v>66</v>
      </c>
      <c r="M584" s="5"/>
      <c r="N584" s="5" t="s">
        <v>861</v>
      </c>
      <c r="O584" s="45" t="str">
        <f>_xlfn.XLOOKUP(TAB.IDEIAS.TOTAL[[#This Row],[Enviado por]],'BASE DMOS'!A:A,'BASE DMOS'!C:C,"Não encontrado")</f>
        <v>OPERAÇÃO</v>
      </c>
    </row>
    <row r="585" spans="1:15" ht="29" x14ac:dyDescent="0.35">
      <c r="A585" s="6" t="s">
        <v>1920</v>
      </c>
      <c r="B585" s="6" t="s">
        <v>1921</v>
      </c>
      <c r="C585" s="6" t="s">
        <v>861</v>
      </c>
      <c r="D585" s="6" t="s">
        <v>1922</v>
      </c>
      <c r="E585" s="6" t="s">
        <v>562</v>
      </c>
      <c r="F585" s="6" t="s">
        <v>17</v>
      </c>
      <c r="H585" s="5">
        <v>46247.725011574075</v>
      </c>
      <c r="I585" s="6" t="s">
        <v>227</v>
      </c>
      <c r="J585" s="5">
        <v>46247.725023148145</v>
      </c>
      <c r="L585" s="6" t="s">
        <v>66</v>
      </c>
      <c r="M585" s="5"/>
      <c r="N585" s="5" t="s">
        <v>861</v>
      </c>
      <c r="O585" s="45" t="str">
        <f>_xlfn.XLOOKUP(TAB.IDEIAS.TOTAL[[#This Row],[Enviado por]],'BASE DMOS'!A:A,'BASE DMOS'!C:C,"Não encontrado")</f>
        <v>OPERAÇÃO</v>
      </c>
    </row>
    <row r="586" spans="1:15" ht="29" x14ac:dyDescent="0.35">
      <c r="A586" s="6" t="s">
        <v>1923</v>
      </c>
      <c r="B586" s="6" t="s">
        <v>1924</v>
      </c>
      <c r="C586" s="6" t="s">
        <v>861</v>
      </c>
      <c r="D586" s="6" t="s">
        <v>1925</v>
      </c>
      <c r="E586" s="6" t="s">
        <v>637</v>
      </c>
      <c r="F586" s="6" t="s">
        <v>17</v>
      </c>
      <c r="H586" s="5">
        <v>46251.87835648148</v>
      </c>
      <c r="I586" s="6" t="s">
        <v>458</v>
      </c>
      <c r="J586" s="5">
        <v>46251.87835648148</v>
      </c>
      <c r="L586" s="6" t="s">
        <v>66</v>
      </c>
      <c r="M586" s="5"/>
      <c r="N586" s="5" t="s">
        <v>861</v>
      </c>
      <c r="O586" s="45" t="str">
        <f>_xlfn.XLOOKUP(TAB.IDEIAS.TOTAL[[#This Row],[Enviado por]],'BASE DMOS'!A:A,'BASE DMOS'!C:C,"Não encontrado")</f>
        <v>ADM/TÉCNICO/ASSISTENTE/ESTAG.</v>
      </c>
    </row>
    <row r="587" spans="1:15" ht="87" x14ac:dyDescent="0.35">
      <c r="A587" s="6" t="s">
        <v>1926</v>
      </c>
      <c r="B587" s="6" t="s">
        <v>1927</v>
      </c>
      <c r="C587" s="6" t="s">
        <v>861</v>
      </c>
      <c r="D587" s="6" t="s">
        <v>1928</v>
      </c>
      <c r="E587" s="6" t="s">
        <v>562</v>
      </c>
      <c r="F587" s="6" t="s">
        <v>17</v>
      </c>
      <c r="H587" s="5">
        <v>46256.54105324074</v>
      </c>
      <c r="I587" s="6" t="s">
        <v>174</v>
      </c>
      <c r="J587" s="5">
        <v>46256.541064814817</v>
      </c>
      <c r="L587" s="6" t="s">
        <v>66</v>
      </c>
      <c r="M587" s="5"/>
      <c r="N587" s="5" t="s">
        <v>861</v>
      </c>
      <c r="O587" s="45" t="str">
        <f>_xlfn.XLOOKUP(TAB.IDEIAS.TOTAL[[#This Row],[Enviado por]],'BASE DMOS'!A:A,'BASE DMOS'!C:C,"Não encontrado")</f>
        <v>OPERAÇÃO</v>
      </c>
    </row>
    <row r="588" spans="1:15" ht="58" x14ac:dyDescent="0.35">
      <c r="A588" s="6" t="s">
        <v>1929</v>
      </c>
      <c r="B588" s="6" t="s">
        <v>1930</v>
      </c>
      <c r="C588" s="6" t="s">
        <v>861</v>
      </c>
      <c r="D588" s="6" t="s">
        <v>1931</v>
      </c>
      <c r="E588" s="6" t="s">
        <v>256</v>
      </c>
      <c r="F588" s="6" t="s">
        <v>17</v>
      </c>
      <c r="H588" s="5">
        <v>46258.868032407408</v>
      </c>
      <c r="I588" s="6" t="s">
        <v>332</v>
      </c>
      <c r="J588" s="5">
        <v>46258.868032407408</v>
      </c>
      <c r="L588" s="6" t="s">
        <v>66</v>
      </c>
      <c r="M588" s="5"/>
      <c r="N588" s="5" t="s">
        <v>861</v>
      </c>
      <c r="O588" s="45" t="str">
        <f>_xlfn.XLOOKUP(TAB.IDEIAS.TOTAL[[#This Row],[Enviado por]],'BASE DMOS'!A:A,'BASE DMOS'!C:C,"Não encontrado")</f>
        <v>OPERAÇÃO</v>
      </c>
    </row>
    <row r="589" spans="1:15" ht="72.5" x14ac:dyDescent="0.35">
      <c r="A589" s="6" t="s">
        <v>1932</v>
      </c>
      <c r="B589" s="6" t="s">
        <v>1933</v>
      </c>
      <c r="C589" s="6" t="s">
        <v>861</v>
      </c>
      <c r="D589" s="6" t="s">
        <v>1934</v>
      </c>
      <c r="E589" s="6" t="s">
        <v>151</v>
      </c>
      <c r="F589" s="6" t="s">
        <v>17</v>
      </c>
      <c r="G589" s="6" t="s">
        <v>24</v>
      </c>
      <c r="H589" s="5">
        <v>46259.573541666665</v>
      </c>
      <c r="I589" s="6" t="s">
        <v>91</v>
      </c>
      <c r="J589" s="5">
        <v>46259.573761574073</v>
      </c>
      <c r="L589" s="6" t="s">
        <v>66</v>
      </c>
      <c r="M589" s="5"/>
      <c r="N589" s="5" t="s">
        <v>861</v>
      </c>
      <c r="O589" s="45" t="str">
        <f>_xlfn.XLOOKUP(TAB.IDEIAS.TOTAL[[#This Row],[Enviado por]],'BASE DMOS'!A:A,'BASE DMOS'!C:C,"Não encontrado")</f>
        <v>ADM/TÉCNICO/ASSISTENTE/ESTAG.</v>
      </c>
    </row>
    <row r="590" spans="1:15" ht="43.5" x14ac:dyDescent="0.35">
      <c r="A590" s="6" t="s">
        <v>1935</v>
      </c>
      <c r="B590" s="6" t="s">
        <v>1936</v>
      </c>
      <c r="C590" s="6" t="s">
        <v>861</v>
      </c>
      <c r="D590" s="6" t="s">
        <v>1937</v>
      </c>
      <c r="E590" s="6" t="s">
        <v>562</v>
      </c>
      <c r="F590" s="6" t="s">
        <v>17</v>
      </c>
      <c r="H590" s="5">
        <v>46259.747199074074</v>
      </c>
      <c r="I590" s="6" t="s">
        <v>19</v>
      </c>
      <c r="J590" s="5">
        <v>46259.747199074074</v>
      </c>
      <c r="L590" s="6" t="s">
        <v>66</v>
      </c>
      <c r="M590" s="5"/>
      <c r="N590" s="43" t="s">
        <v>1938</v>
      </c>
      <c r="O590" s="45" t="str">
        <f>_xlfn.XLOOKUP(TAB.IDEIAS.TOTAL[[#This Row],[Enviado por]],'BASE DMOS'!A:A,'BASE DMOS'!C:C,"Não encontrado")</f>
        <v>OPERAÇÃO</v>
      </c>
    </row>
    <row r="591" spans="1:15" ht="43.5" x14ac:dyDescent="0.35">
      <c r="A591" s="6" t="s">
        <v>1939</v>
      </c>
      <c r="B591" s="6" t="s">
        <v>1940</v>
      </c>
      <c r="C591" s="6" t="s">
        <v>148</v>
      </c>
      <c r="D591" s="6" t="s">
        <v>1941</v>
      </c>
      <c r="E591" s="6" t="s">
        <v>1719</v>
      </c>
      <c r="F591" s="6" t="s">
        <v>17</v>
      </c>
      <c r="G591" s="6" t="s">
        <v>61</v>
      </c>
      <c r="H591" s="5">
        <v>46260.383425925924</v>
      </c>
      <c r="I591" s="6" t="s">
        <v>19</v>
      </c>
      <c r="J591" s="5">
        <v>46288.453969907408</v>
      </c>
      <c r="L591" s="6" t="s">
        <v>66</v>
      </c>
      <c r="M591" s="5"/>
      <c r="N591" s="5" t="s">
        <v>861</v>
      </c>
      <c r="O591" s="45" t="str">
        <f>_xlfn.XLOOKUP(TAB.IDEIAS.TOTAL[[#This Row],[Enviado por]],'BASE DMOS'!A:A,'BASE DMOS'!C:C,"Não encontrado")</f>
        <v>OPERAÇÃO</v>
      </c>
    </row>
    <row r="592" spans="1:15" ht="29" x14ac:dyDescent="0.35">
      <c r="A592" s="6" t="s">
        <v>1942</v>
      </c>
      <c r="B592" s="6" t="s">
        <v>1943</v>
      </c>
      <c r="C592" s="6" t="s">
        <v>861</v>
      </c>
      <c r="D592" s="6" t="s">
        <v>1944</v>
      </c>
      <c r="E592" s="6" t="s">
        <v>438</v>
      </c>
      <c r="F592" s="6" t="s">
        <v>17</v>
      </c>
      <c r="H592" s="5">
        <v>46260.634953703702</v>
      </c>
      <c r="I592" s="6" t="s">
        <v>25</v>
      </c>
      <c r="J592" s="5">
        <v>46260.634953703702</v>
      </c>
      <c r="L592" s="6" t="s">
        <v>66</v>
      </c>
      <c r="M592" s="5"/>
      <c r="N592" s="43" t="s">
        <v>186</v>
      </c>
      <c r="O592" s="45" t="str">
        <f>_xlfn.XLOOKUP(TAB.IDEIAS.TOTAL[[#This Row],[Enviado por]],'BASE DMOS'!A:A,'BASE DMOS'!C:C,"Não encontrado")</f>
        <v>OPERAÇÃO</v>
      </c>
    </row>
    <row r="593" spans="1:15" ht="29" x14ac:dyDescent="0.35">
      <c r="A593" s="6" t="s">
        <v>1945</v>
      </c>
      <c r="B593" s="6" t="s">
        <v>1946</v>
      </c>
      <c r="C593" s="6" t="s">
        <v>184</v>
      </c>
      <c r="D593" s="6" t="s">
        <v>1947</v>
      </c>
      <c r="E593" s="6" t="s">
        <v>77</v>
      </c>
      <c r="F593" s="6" t="s">
        <v>17</v>
      </c>
      <c r="G593" s="6" t="s">
        <v>61</v>
      </c>
      <c r="H593" s="5">
        <v>46265.697233796294</v>
      </c>
      <c r="I593" s="6" t="s">
        <v>174</v>
      </c>
      <c r="J593" s="5">
        <v>46274.621655092589</v>
      </c>
      <c r="L593" s="6" t="s">
        <v>66</v>
      </c>
      <c r="M593" s="5"/>
      <c r="N593" s="43" t="s">
        <v>374</v>
      </c>
      <c r="O593" s="45" t="str">
        <f>_xlfn.XLOOKUP(TAB.IDEIAS.TOTAL[[#This Row],[Enviado por]],'BASE DMOS'!A:A,'BASE DMOS'!C:C,"Não encontrado")</f>
        <v>OPERAÇÃO</v>
      </c>
    </row>
    <row r="594" spans="1:15" ht="43.5" x14ac:dyDescent="0.35">
      <c r="A594" s="6" t="s">
        <v>1948</v>
      </c>
      <c r="B594" s="6" t="s">
        <v>1949</v>
      </c>
      <c r="C594" s="6" t="s">
        <v>184</v>
      </c>
      <c r="D594" s="6" t="s">
        <v>1950</v>
      </c>
      <c r="E594" s="6" t="s">
        <v>108</v>
      </c>
      <c r="F594" s="6" t="s">
        <v>17</v>
      </c>
      <c r="G594" s="6" t="s">
        <v>18</v>
      </c>
      <c r="H594" s="5">
        <v>46265.790196759262</v>
      </c>
      <c r="I594" s="6" t="s">
        <v>19</v>
      </c>
      <c r="J594" s="5">
        <v>46265.792754629627</v>
      </c>
      <c r="L594" s="6" t="s">
        <v>66</v>
      </c>
      <c r="M594" s="5"/>
      <c r="N594" s="5" t="s">
        <v>15</v>
      </c>
      <c r="O594" s="45" t="str">
        <f>_xlfn.XLOOKUP(TAB.IDEIAS.TOTAL[[#This Row],[Enviado por]],'BASE DMOS'!A:A,'BASE DMOS'!C:C,"Não encontrado")</f>
        <v>ADM/TÉCNICO/ASSISTENTE/ESTAG.</v>
      </c>
    </row>
    <row r="595" spans="1:15" ht="43.5" x14ac:dyDescent="0.35">
      <c r="A595" s="6" t="s">
        <v>1951</v>
      </c>
      <c r="B595" s="6" t="s">
        <v>1940</v>
      </c>
      <c r="C595" s="6" t="s">
        <v>15</v>
      </c>
      <c r="D595" s="6" t="s">
        <v>1941</v>
      </c>
      <c r="E595" s="6" t="s">
        <v>1719</v>
      </c>
      <c r="F595" s="6" t="s">
        <v>17</v>
      </c>
      <c r="G595" s="6" t="s">
        <v>24</v>
      </c>
      <c r="H595" s="5">
        <v>46266.309421296297</v>
      </c>
      <c r="I595" s="6" t="s">
        <v>19</v>
      </c>
      <c r="J595" s="5">
        <v>46266.498495370368</v>
      </c>
      <c r="L595" s="6" t="s">
        <v>66</v>
      </c>
      <c r="M595" s="5">
        <v>46266.498495370368</v>
      </c>
      <c r="N595" s="5" t="s">
        <v>15</v>
      </c>
      <c r="O595" s="45" t="str">
        <f>_xlfn.XLOOKUP(TAB.IDEIAS.TOTAL[[#This Row],[Enviado por]],'BASE DMOS'!A:A,'BASE DMOS'!C:C,"Não encontrado")</f>
        <v>OPERAÇÃO</v>
      </c>
    </row>
    <row r="596" spans="1:15" ht="58" x14ac:dyDescent="0.35">
      <c r="A596" s="6" t="s">
        <v>1952</v>
      </c>
      <c r="B596" s="6" t="s">
        <v>1953</v>
      </c>
      <c r="C596" s="6" t="s">
        <v>861</v>
      </c>
      <c r="D596" s="6" t="s">
        <v>1954</v>
      </c>
      <c r="E596" s="6" t="s">
        <v>193</v>
      </c>
      <c r="F596" s="6" t="s">
        <v>17</v>
      </c>
      <c r="H596" s="5">
        <v>46269.227592592593</v>
      </c>
      <c r="I596" s="6" t="s">
        <v>91</v>
      </c>
      <c r="J596" s="5">
        <v>46269.227592592593</v>
      </c>
      <c r="L596" s="6" t="s">
        <v>66</v>
      </c>
      <c r="M596" s="5"/>
      <c r="N596" s="5" t="s">
        <v>861</v>
      </c>
      <c r="O596" s="45" t="str">
        <f>_xlfn.XLOOKUP(TAB.IDEIAS.TOTAL[[#This Row],[Enviado por]],'BASE DMOS'!A:A,'BASE DMOS'!C:C,"Não encontrado")</f>
        <v>OPERAÇÃO</v>
      </c>
    </row>
    <row r="597" spans="1:15" ht="72.5" x14ac:dyDescent="0.35">
      <c r="A597" s="6" t="s">
        <v>1955</v>
      </c>
      <c r="B597" s="6" t="s">
        <v>1956</v>
      </c>
      <c r="C597" s="6" t="s">
        <v>148</v>
      </c>
      <c r="D597" s="6" t="s">
        <v>1957</v>
      </c>
      <c r="E597" s="6" t="s">
        <v>90</v>
      </c>
      <c r="F597" s="6" t="s">
        <v>17</v>
      </c>
      <c r="G597" s="6" t="s">
        <v>1958</v>
      </c>
      <c r="H597" s="5">
        <v>46269.655868055554</v>
      </c>
      <c r="I597" s="6" t="s">
        <v>19</v>
      </c>
      <c r="J597" s="5">
        <v>46283.400625000002</v>
      </c>
      <c r="L597" s="6" t="s">
        <v>66</v>
      </c>
      <c r="M597" s="5"/>
      <c r="N597" s="5" t="s">
        <v>148</v>
      </c>
      <c r="O597" s="45" t="str">
        <f>_xlfn.XLOOKUP(TAB.IDEIAS.TOTAL[[#This Row],[Enviado por]],'BASE DMOS'!A:A,'BASE DMOS'!C:C,"Não encontrado")</f>
        <v>OPERAÇÃO</v>
      </c>
    </row>
    <row r="598" spans="1:15" ht="116" x14ac:dyDescent="0.35">
      <c r="A598" s="6" t="s">
        <v>1959</v>
      </c>
      <c r="B598" s="6" t="s">
        <v>1960</v>
      </c>
      <c r="C598" s="6" t="s">
        <v>148</v>
      </c>
      <c r="D598" s="6" t="s">
        <v>1961</v>
      </c>
      <c r="E598" s="6" t="s">
        <v>90</v>
      </c>
      <c r="F598" s="6" t="s">
        <v>17</v>
      </c>
      <c r="G598" s="6" t="s">
        <v>1958</v>
      </c>
      <c r="H598" s="5">
        <v>46269.659861111111</v>
      </c>
      <c r="I598" s="6" t="s">
        <v>19</v>
      </c>
      <c r="J598" s="5">
        <v>46283.401319444441</v>
      </c>
      <c r="L598" s="6" t="s">
        <v>66</v>
      </c>
      <c r="M598" s="5"/>
      <c r="N598" s="43" t="s">
        <v>148</v>
      </c>
      <c r="O598" s="45" t="str">
        <f>_xlfn.XLOOKUP(TAB.IDEIAS.TOTAL[[#This Row],[Enviado por]],'BASE DMOS'!A:A,'BASE DMOS'!C:C,"Não encontrado")</f>
        <v>OPERAÇÃO</v>
      </c>
    </row>
    <row r="599" spans="1:15" ht="29" x14ac:dyDescent="0.35">
      <c r="A599" s="6" t="s">
        <v>1962</v>
      </c>
      <c r="B599" s="6" t="s">
        <v>1963</v>
      </c>
      <c r="C599" s="6" t="s">
        <v>861</v>
      </c>
      <c r="D599" s="6" t="s">
        <v>1964</v>
      </c>
      <c r="E599" s="6" t="s">
        <v>90</v>
      </c>
      <c r="F599" s="6" t="s">
        <v>17</v>
      </c>
      <c r="H599" s="5">
        <v>46269.662962962961</v>
      </c>
      <c r="I599" s="6" t="s">
        <v>91</v>
      </c>
      <c r="J599" s="5">
        <v>46286.431597222225</v>
      </c>
      <c r="L599" s="6" t="s">
        <v>66</v>
      </c>
      <c r="M599" s="5"/>
      <c r="N599" s="5" t="s">
        <v>861</v>
      </c>
      <c r="O599" s="45" t="str">
        <f>_xlfn.XLOOKUP(TAB.IDEIAS.TOTAL[[#This Row],[Enviado por]],'BASE DMOS'!A:A,'BASE DMOS'!C:C,"Não encontrado")</f>
        <v>OPERAÇÃO</v>
      </c>
    </row>
    <row r="600" spans="1:15" ht="43.5" x14ac:dyDescent="0.35">
      <c r="A600" s="6" t="s">
        <v>1965</v>
      </c>
      <c r="B600" s="6" t="s">
        <v>1966</v>
      </c>
      <c r="C600" s="6" t="s">
        <v>148</v>
      </c>
      <c r="D600" s="6" t="s">
        <v>1967</v>
      </c>
      <c r="E600" s="6" t="s">
        <v>294</v>
      </c>
      <c r="F600" s="6" t="s">
        <v>17</v>
      </c>
      <c r="G600" s="6" t="s">
        <v>30</v>
      </c>
      <c r="H600" s="5">
        <v>46273.58090277778</v>
      </c>
      <c r="I600" s="6" t="s">
        <v>19</v>
      </c>
      <c r="J600" s="5">
        <v>46273.582835648151</v>
      </c>
      <c r="L600" s="6" t="s">
        <v>66</v>
      </c>
      <c r="M600" s="5"/>
      <c r="N600" t="s">
        <v>148</v>
      </c>
      <c r="O600" s="45" t="str">
        <f>_xlfn.XLOOKUP(TAB.IDEIAS.TOTAL[[#This Row],[Enviado por]],'BASE DMOS'!A:A,'BASE DMOS'!C:C,"Não encontrado")</f>
        <v>ADM/TÉCNICO/ASSISTENTE/ESTAG.</v>
      </c>
    </row>
    <row r="601" spans="1:15" ht="43.5" x14ac:dyDescent="0.35">
      <c r="A601" s="6" t="s">
        <v>1968</v>
      </c>
      <c r="B601" s="6" t="s">
        <v>1969</v>
      </c>
      <c r="C601" s="6" t="s">
        <v>148</v>
      </c>
      <c r="D601" s="6" t="s">
        <v>1970</v>
      </c>
      <c r="E601" s="6" t="s">
        <v>294</v>
      </c>
      <c r="F601" s="6" t="s">
        <v>17</v>
      </c>
      <c r="G601" s="6" t="s">
        <v>61</v>
      </c>
      <c r="H601" s="5">
        <v>46274.591851851852</v>
      </c>
      <c r="I601" s="6" t="s">
        <v>19</v>
      </c>
      <c r="J601" s="5">
        <v>46282.417627314811</v>
      </c>
      <c r="L601" s="6" t="s">
        <v>66</v>
      </c>
      <c r="M601" s="5"/>
      <c r="N601" t="s">
        <v>148</v>
      </c>
      <c r="O601" s="45" t="str">
        <f>_xlfn.XLOOKUP(TAB.IDEIAS.TOTAL[[#This Row],[Enviado por]],'BASE DMOS'!A:A,'BASE DMOS'!C:C,"Não encontrado")</f>
        <v>ADM/TÉCNICO/ASSISTENTE/ESTAG.</v>
      </c>
    </row>
    <row r="602" spans="1:15" ht="29" x14ac:dyDescent="0.35">
      <c r="A602" s="6" t="s">
        <v>1971</v>
      </c>
      <c r="B602" s="6" t="s">
        <v>1972</v>
      </c>
      <c r="C602" s="6" t="s">
        <v>184</v>
      </c>
      <c r="D602" s="6" t="s">
        <v>1973</v>
      </c>
      <c r="E602" s="6" t="s">
        <v>1707</v>
      </c>
      <c r="F602" s="6" t="s">
        <v>17</v>
      </c>
      <c r="G602" s="6" t="s">
        <v>24</v>
      </c>
      <c r="H602" s="5">
        <v>46275.361076388886</v>
      </c>
      <c r="I602" s="6" t="s">
        <v>1708</v>
      </c>
      <c r="J602" s="5">
        <v>46282.74763888889</v>
      </c>
      <c r="L602" s="6" t="s">
        <v>66</v>
      </c>
      <c r="M602" s="5"/>
      <c r="N602" t="s">
        <v>374</v>
      </c>
      <c r="O602" s="45" t="str">
        <f>_xlfn.XLOOKUP(TAB.IDEIAS.TOTAL[[#This Row],[Enviado por]],'BASE DMOS'!A:A,'BASE DMOS'!C:C,"Não encontrado")</f>
        <v>ADM/TÉCNICO/ASSISTENTE/ESTAG.</v>
      </c>
    </row>
    <row r="603" spans="1:15" ht="43.5" x14ac:dyDescent="0.35">
      <c r="A603" s="6" t="s">
        <v>1974</v>
      </c>
      <c r="B603" s="6" t="s">
        <v>1975</v>
      </c>
      <c r="C603" s="6" t="s">
        <v>184</v>
      </c>
      <c r="D603" s="6" t="s">
        <v>1976</v>
      </c>
      <c r="E603" s="6" t="s">
        <v>1977</v>
      </c>
      <c r="F603" s="6" t="s">
        <v>17</v>
      </c>
      <c r="G603" s="6" t="s">
        <v>18</v>
      </c>
      <c r="H603" s="5">
        <v>46281.800613425927</v>
      </c>
      <c r="I603" s="6" t="s">
        <v>332</v>
      </c>
      <c r="J603" s="5">
        <v>46286.647916666669</v>
      </c>
      <c r="K603" s="6" t="s">
        <v>355</v>
      </c>
      <c r="L603" s="6" t="s">
        <v>66</v>
      </c>
      <c r="M603" s="5"/>
      <c r="N603" t="s">
        <v>186</v>
      </c>
      <c r="O603" s="45" t="str">
        <f>_xlfn.XLOOKUP(TAB.IDEIAS.TOTAL[[#This Row],[Enviado por]],'BASE DMOS'!A:A,'BASE DMOS'!C:C,"Não encontrado")</f>
        <v>OPERAÇÃO</v>
      </c>
    </row>
    <row r="604" spans="1:15" ht="43.5" x14ac:dyDescent="0.35">
      <c r="A604" s="6" t="s">
        <v>1978</v>
      </c>
      <c r="B604" s="6" t="s">
        <v>1979</v>
      </c>
      <c r="C604" s="6" t="s">
        <v>184</v>
      </c>
      <c r="D604" s="6" t="s">
        <v>1980</v>
      </c>
      <c r="E604" s="6" t="s">
        <v>85</v>
      </c>
      <c r="F604" s="6" t="s">
        <v>17</v>
      </c>
      <c r="G604" s="6" t="s">
        <v>18</v>
      </c>
      <c r="H604" s="5">
        <v>46281.845335648148</v>
      </c>
      <c r="I604" s="6" t="s">
        <v>91</v>
      </c>
      <c r="J604" s="5">
        <v>46287.397476851853</v>
      </c>
      <c r="L604" s="6" t="s">
        <v>66</v>
      </c>
      <c r="M604" s="5"/>
      <c r="N604" t="s">
        <v>186</v>
      </c>
      <c r="O604" s="45" t="str">
        <f>_xlfn.XLOOKUP(TAB.IDEIAS.TOTAL[[#This Row],[Enviado por]],'BASE DMOS'!A:A,'BASE DMOS'!C:C,"Não encontrado")</f>
        <v>ADM/TÉCNICO/ASSISTENTE/ESTAG.</v>
      </c>
    </row>
    <row r="605" spans="1:15" ht="43.5" x14ac:dyDescent="0.35">
      <c r="A605" s="6" t="s">
        <v>1981</v>
      </c>
      <c r="B605" s="6" t="s">
        <v>1982</v>
      </c>
      <c r="C605" s="6" t="s">
        <v>184</v>
      </c>
      <c r="D605" s="6" t="s">
        <v>1980</v>
      </c>
      <c r="E605" s="6" t="s">
        <v>85</v>
      </c>
      <c r="F605" s="6" t="s">
        <v>17</v>
      </c>
      <c r="G605" s="6" t="s">
        <v>18</v>
      </c>
      <c r="H605" s="5">
        <v>46281.846782407411</v>
      </c>
      <c r="I605" s="6" t="s">
        <v>91</v>
      </c>
      <c r="J605" s="5">
        <v>46287.396967592591</v>
      </c>
      <c r="L605" s="6" t="s">
        <v>66</v>
      </c>
      <c r="M605" s="5"/>
      <c r="N605" t="s">
        <v>186</v>
      </c>
      <c r="O605" s="45" t="str">
        <f>_xlfn.XLOOKUP(TAB.IDEIAS.TOTAL[[#This Row],[Enviado por]],'BASE DMOS'!A:A,'BASE DMOS'!C:C,"Não encontrado")</f>
        <v>ADM/TÉCNICO/ASSISTENTE/ESTAG.</v>
      </c>
    </row>
    <row r="606" spans="1:15" ht="72.5" x14ac:dyDescent="0.35">
      <c r="A606" s="6" t="s">
        <v>1983</v>
      </c>
      <c r="B606" s="6" t="s">
        <v>1984</v>
      </c>
      <c r="C606" s="6" t="s">
        <v>184</v>
      </c>
      <c r="D606" s="6" t="s">
        <v>1985</v>
      </c>
      <c r="E606" s="6" t="s">
        <v>127</v>
      </c>
      <c r="F606" s="6" t="s">
        <v>17</v>
      </c>
      <c r="G606" s="6" t="s">
        <v>54</v>
      </c>
      <c r="H606" s="5">
        <v>46283.393159722225</v>
      </c>
      <c r="I606" s="6" t="s">
        <v>91</v>
      </c>
      <c r="J606" s="5">
        <v>46290.474999999999</v>
      </c>
      <c r="K606" s="6" t="s">
        <v>69</v>
      </c>
      <c r="L606" s="6" t="s">
        <v>66</v>
      </c>
      <c r="M606" s="5"/>
      <c r="N606" t="s">
        <v>392</v>
      </c>
      <c r="O606" s="45" t="str">
        <f>_xlfn.XLOOKUP(TAB.IDEIAS.TOTAL[[#This Row],[Enviado por]],'BASE DMOS'!A:A,'BASE DMOS'!C:C,"Não encontrado")</f>
        <v>ADM/TÉCNICO/ASSISTENTE/ESTAG.</v>
      </c>
    </row>
    <row r="607" spans="1:15" ht="43.5" x14ac:dyDescent="0.35">
      <c r="A607" s="6" t="s">
        <v>1986</v>
      </c>
      <c r="B607" s="6" t="s">
        <v>1987</v>
      </c>
      <c r="C607" s="6" t="s">
        <v>861</v>
      </c>
      <c r="D607" s="6" t="s">
        <v>1988</v>
      </c>
      <c r="E607" s="6" t="s">
        <v>127</v>
      </c>
      <c r="F607" s="6" t="s">
        <v>17</v>
      </c>
      <c r="H607" s="5">
        <v>46283.402187500003</v>
      </c>
      <c r="I607" s="6" t="s">
        <v>91</v>
      </c>
      <c r="J607" s="5">
        <v>46283.402187500003</v>
      </c>
      <c r="L607" s="6" t="s">
        <v>66</v>
      </c>
      <c r="M607" s="5"/>
      <c r="N607" t="s">
        <v>861</v>
      </c>
      <c r="O607" s="45" t="str">
        <f>_xlfn.XLOOKUP(TAB.IDEIAS.TOTAL[[#This Row],[Enviado por]],'BASE DMOS'!A:A,'BASE DMOS'!C:C,"Não encontrado")</f>
        <v>ADM/TÉCNICO/ASSISTENTE/ESTAG.</v>
      </c>
    </row>
    <row r="608" spans="1:15" ht="43.5" x14ac:dyDescent="0.35">
      <c r="A608" s="6" t="s">
        <v>2388</v>
      </c>
      <c r="B608" s="6" t="s">
        <v>2389</v>
      </c>
      <c r="C608" s="6" t="s">
        <v>15</v>
      </c>
      <c r="D608" s="6" t="s">
        <v>2389</v>
      </c>
      <c r="E608" s="6" t="s">
        <v>2363</v>
      </c>
      <c r="F608" s="6" t="s">
        <v>17</v>
      </c>
      <c r="G608" s="6" t="s">
        <v>54</v>
      </c>
      <c r="H608" s="5">
        <v>46286.516400462962</v>
      </c>
      <c r="I608" s="6" t="s">
        <v>19</v>
      </c>
      <c r="J608" s="5">
        <v>46286.517013888886</v>
      </c>
      <c r="L608" s="6" t="s">
        <v>66</v>
      </c>
      <c r="M608" s="5">
        <v>46286.517013888886</v>
      </c>
      <c r="N608" t="s">
        <v>15</v>
      </c>
      <c r="O608" s="45" t="str">
        <f>_xlfn.XLOOKUP(TAB.IDEIAS.TOTAL[[#This Row],[Enviado por]],'BASE DMOS'!A:A,'BASE DMOS'!C:C,"Não encontrado")</f>
        <v>ADM/TÉCNICO/ASSISTENTE/ESTAG.</v>
      </c>
    </row>
    <row r="609" spans="1:15" ht="43.5" x14ac:dyDescent="0.35">
      <c r="A609" s="6" t="s">
        <v>2391</v>
      </c>
      <c r="B609" s="6" t="s">
        <v>2392</v>
      </c>
      <c r="C609" s="6" t="s">
        <v>861</v>
      </c>
      <c r="D609" s="6" t="s">
        <v>2393</v>
      </c>
      <c r="E609" s="6" t="s">
        <v>69</v>
      </c>
      <c r="F609" s="6" t="s">
        <v>17</v>
      </c>
      <c r="H609" s="5">
        <v>46290.432662037034</v>
      </c>
      <c r="I609" s="6" t="s">
        <v>242</v>
      </c>
      <c r="J609" s="5">
        <v>46290.432662037034</v>
      </c>
      <c r="L609" s="6" t="s">
        <v>66</v>
      </c>
      <c r="M609" s="5"/>
      <c r="N609" t="s">
        <v>861</v>
      </c>
      <c r="O609" s="45" t="str">
        <f>_xlfn.XLOOKUP(TAB.IDEIAS.TOTAL[[#This Row],[Enviado por]],'BASE DMOS'!A:A,'BASE DMOS'!C:C,"Não encontrado")</f>
        <v>ADM/TÉCNICO/ASSISTENTE/ESTAG.</v>
      </c>
    </row>
    <row r="610" spans="1:15" ht="14.5" x14ac:dyDescent="0.35">
      <c r="O610" s="45"/>
    </row>
    <row r="611" spans="1:15" ht="14.5" x14ac:dyDescent="0.35">
      <c r="O611" s="45"/>
    </row>
    <row r="612" spans="1:15" ht="14.5" x14ac:dyDescent="0.35">
      <c r="O612" s="45"/>
    </row>
    <row r="613" spans="1:15" ht="14.5" x14ac:dyDescent="0.35">
      <c r="O613" s="45"/>
    </row>
    <row r="614" spans="1:15" ht="14.5" x14ac:dyDescent="0.35">
      <c r="O614" s="45"/>
    </row>
    <row r="615" spans="1:15" ht="14.5" x14ac:dyDescent="0.35">
      <c r="O615" s="45"/>
    </row>
    <row r="616" spans="1:15" ht="14.5" x14ac:dyDescent="0.35">
      <c r="O616" s="45"/>
    </row>
    <row r="617" spans="1:15" ht="14.5" x14ac:dyDescent="0.35">
      <c r="O617" s="45"/>
    </row>
    <row r="618" spans="1:15" ht="14.5" x14ac:dyDescent="0.35">
      <c r="O618" s="45"/>
    </row>
    <row r="619" spans="1:15" ht="14.5" x14ac:dyDescent="0.35">
      <c r="O619" s="45"/>
    </row>
    <row r="620" spans="1:15" ht="14.5" x14ac:dyDescent="0.35">
      <c r="O620" s="45"/>
    </row>
    <row r="621" spans="1:15" ht="14.5" x14ac:dyDescent="0.35">
      <c r="O621" s="45"/>
    </row>
    <row r="622" spans="1:15" ht="14.5" x14ac:dyDescent="0.35">
      <c r="O622" s="45"/>
    </row>
    <row r="623" spans="1:15" ht="14.5" x14ac:dyDescent="0.35">
      <c r="O623" s="45"/>
    </row>
    <row r="624" spans="1:15" ht="14.5" x14ac:dyDescent="0.35">
      <c r="O624" s="45"/>
    </row>
    <row r="625" spans="15:15" ht="14.5" x14ac:dyDescent="0.35">
      <c r="O625" s="45"/>
    </row>
    <row r="626" spans="15:15" ht="14.5" x14ac:dyDescent="0.35">
      <c r="O626" s="45"/>
    </row>
    <row r="627" spans="15:15" ht="14.5" x14ac:dyDescent="0.35">
      <c r="O627" s="45"/>
    </row>
    <row r="628" spans="15:15" ht="14.5" x14ac:dyDescent="0.35">
      <c r="O628" s="45"/>
    </row>
    <row r="629" spans="15:15" ht="14.5" x14ac:dyDescent="0.35">
      <c r="O629" s="45"/>
    </row>
    <row r="630" spans="15:15" ht="14.5" x14ac:dyDescent="0.35">
      <c r="O630" s="45"/>
    </row>
    <row r="631" spans="15:15" ht="14.5" x14ac:dyDescent="0.35">
      <c r="O631" s="45"/>
    </row>
    <row r="632" spans="15:15" ht="14.5" x14ac:dyDescent="0.35">
      <c r="O632" s="45"/>
    </row>
    <row r="633" spans="15:15" ht="14.5" x14ac:dyDescent="0.35">
      <c r="O633" s="45"/>
    </row>
    <row r="634" spans="15:15" ht="14.5" x14ac:dyDescent="0.35">
      <c r="O634" s="45"/>
    </row>
    <row r="635" spans="15:15" ht="14.5" x14ac:dyDescent="0.35">
      <c r="O635" s="45"/>
    </row>
    <row r="636" spans="15:15" ht="14.5" x14ac:dyDescent="0.35">
      <c r="O636" s="45"/>
    </row>
    <row r="637" spans="15:15" ht="14.5" x14ac:dyDescent="0.35">
      <c r="O637" s="45"/>
    </row>
    <row r="638" spans="15:15" ht="14.5" x14ac:dyDescent="0.35">
      <c r="O638" s="45"/>
    </row>
    <row r="639" spans="15:15" ht="14.5" x14ac:dyDescent="0.35">
      <c r="O639" s="45"/>
    </row>
    <row r="640" spans="15:15" ht="14.5" x14ac:dyDescent="0.35">
      <c r="O640" s="45"/>
    </row>
    <row r="641" spans="15:15" ht="14.5" x14ac:dyDescent="0.35">
      <c r="O641" s="45"/>
    </row>
    <row r="642" spans="15:15" ht="14.5" x14ac:dyDescent="0.35">
      <c r="O642" s="45"/>
    </row>
    <row r="643" spans="15:15" ht="14.5" x14ac:dyDescent="0.35">
      <c r="O643" s="45"/>
    </row>
    <row r="644" spans="15:15" ht="14.5" x14ac:dyDescent="0.35">
      <c r="O644" s="45"/>
    </row>
    <row r="645" spans="15:15" ht="14.5" x14ac:dyDescent="0.35">
      <c r="O645" s="45"/>
    </row>
    <row r="646" spans="15:15" ht="14.5" x14ac:dyDescent="0.35">
      <c r="O646" s="45"/>
    </row>
    <row r="647" spans="15:15" ht="14.5" x14ac:dyDescent="0.35">
      <c r="O647" s="45"/>
    </row>
    <row r="648" spans="15:15" ht="14.5" x14ac:dyDescent="0.35">
      <c r="O648" s="45"/>
    </row>
    <row r="649" spans="15:15" ht="14.5" x14ac:dyDescent="0.35">
      <c r="O649" s="45"/>
    </row>
    <row r="650" spans="15:15" ht="14.5" x14ac:dyDescent="0.35">
      <c r="O650" s="45"/>
    </row>
    <row r="651" spans="15:15" ht="14.5" x14ac:dyDescent="0.35">
      <c r="O651" s="45"/>
    </row>
    <row r="652" spans="15:15" ht="14.5" x14ac:dyDescent="0.35">
      <c r="O652" s="45"/>
    </row>
    <row r="653" spans="15:15" ht="14.5" x14ac:dyDescent="0.35">
      <c r="O653" s="45"/>
    </row>
    <row r="654" spans="15:15" ht="14.5" x14ac:dyDescent="0.35">
      <c r="O654" s="45"/>
    </row>
    <row r="655" spans="15:15" ht="14.5" x14ac:dyDescent="0.35">
      <c r="O655" s="45"/>
    </row>
    <row r="656" spans="15:15" ht="14.5" x14ac:dyDescent="0.35">
      <c r="O656" s="45"/>
    </row>
    <row r="657" spans="15:15" ht="14.5" x14ac:dyDescent="0.35">
      <c r="O657" s="45"/>
    </row>
    <row r="658" spans="15:15" ht="14.5" x14ac:dyDescent="0.35">
      <c r="O658" s="45"/>
    </row>
    <row r="659" spans="15:15" ht="14.5" x14ac:dyDescent="0.35">
      <c r="O659" s="45"/>
    </row>
    <row r="660" spans="15:15" ht="14.5" x14ac:dyDescent="0.35">
      <c r="O660" s="45"/>
    </row>
    <row r="661" spans="15:15" ht="14.5" x14ac:dyDescent="0.35">
      <c r="O661" s="45"/>
    </row>
    <row r="662" spans="15:15" ht="14.5" x14ac:dyDescent="0.35">
      <c r="O662" s="45"/>
    </row>
    <row r="663" spans="15:15" ht="14.5" x14ac:dyDescent="0.35">
      <c r="O663" s="45"/>
    </row>
    <row r="664" spans="15:15" ht="14.5" x14ac:dyDescent="0.35">
      <c r="O664" s="45"/>
    </row>
    <row r="665" spans="15:15" ht="14.5" x14ac:dyDescent="0.35">
      <c r="O665" s="45"/>
    </row>
    <row r="666" spans="15:15" ht="14.5" x14ac:dyDescent="0.35">
      <c r="O666" s="45"/>
    </row>
    <row r="667" spans="15:15" ht="14.5" x14ac:dyDescent="0.35">
      <c r="O667" s="45"/>
    </row>
    <row r="668" spans="15:15" ht="14.5" x14ac:dyDescent="0.35">
      <c r="O668" s="45"/>
    </row>
    <row r="669" spans="15:15" ht="14.5" x14ac:dyDescent="0.35">
      <c r="O669" s="45"/>
    </row>
    <row r="670" spans="15:15" ht="14.5" x14ac:dyDescent="0.35">
      <c r="O670" s="45"/>
    </row>
    <row r="671" spans="15:15" ht="14.5" x14ac:dyDescent="0.35">
      <c r="O671" s="45"/>
    </row>
    <row r="672" spans="15:15" ht="14.5" x14ac:dyDescent="0.35">
      <c r="O672" s="45"/>
    </row>
    <row r="673" spans="15:15" ht="14.5" x14ac:dyDescent="0.35">
      <c r="O673" s="45"/>
    </row>
    <row r="674" spans="15:15" ht="14.5" x14ac:dyDescent="0.35">
      <c r="O674" s="45"/>
    </row>
    <row r="675" spans="15:15" ht="14.5" x14ac:dyDescent="0.35">
      <c r="O675" s="45"/>
    </row>
    <row r="676" spans="15:15" ht="14.5" x14ac:dyDescent="0.35">
      <c r="O676" s="45"/>
    </row>
    <row r="677" spans="15:15" ht="14.5" x14ac:dyDescent="0.35">
      <c r="O677" s="45"/>
    </row>
    <row r="678" spans="15:15" ht="14.5" x14ac:dyDescent="0.35">
      <c r="O678" s="45"/>
    </row>
    <row r="679" spans="15:15" ht="14.5" x14ac:dyDescent="0.35">
      <c r="O679" s="45"/>
    </row>
    <row r="680" spans="15:15" ht="14.5" x14ac:dyDescent="0.35">
      <c r="O680" s="45"/>
    </row>
    <row r="681" spans="15:15" ht="14.5" x14ac:dyDescent="0.35">
      <c r="O681" s="45"/>
    </row>
    <row r="682" spans="15:15" ht="14.5" x14ac:dyDescent="0.35">
      <c r="O682" s="45"/>
    </row>
    <row r="683" spans="15:15" ht="14.5" x14ac:dyDescent="0.35">
      <c r="O683" s="45"/>
    </row>
    <row r="684" spans="15:15" ht="14.5" x14ac:dyDescent="0.35">
      <c r="O684" s="45"/>
    </row>
    <row r="685" spans="15:15" ht="14.5" x14ac:dyDescent="0.35">
      <c r="O685" s="45"/>
    </row>
    <row r="686" spans="15:15" ht="14.5" x14ac:dyDescent="0.35">
      <c r="O686" s="45"/>
    </row>
    <row r="687" spans="15:15" ht="14.5" x14ac:dyDescent="0.35">
      <c r="O687" s="45"/>
    </row>
    <row r="688" spans="15:15" ht="14.5" x14ac:dyDescent="0.35">
      <c r="O688" s="45"/>
    </row>
    <row r="689" spans="15:15" ht="14.5" x14ac:dyDescent="0.35">
      <c r="O689" s="45"/>
    </row>
    <row r="690" spans="15:15" ht="14.5" x14ac:dyDescent="0.35">
      <c r="O690" s="45"/>
    </row>
    <row r="691" spans="15:15" ht="14.5" x14ac:dyDescent="0.35">
      <c r="O691" s="45"/>
    </row>
    <row r="692" spans="15:15" ht="14.5" x14ac:dyDescent="0.35">
      <c r="O692" s="45"/>
    </row>
    <row r="693" spans="15:15" ht="14.5" x14ac:dyDescent="0.35">
      <c r="O693" s="45"/>
    </row>
    <row r="694" spans="15:15" ht="14.5" x14ac:dyDescent="0.35">
      <c r="O694" s="45"/>
    </row>
    <row r="695" spans="15:15" ht="14.5" x14ac:dyDescent="0.35">
      <c r="O695" s="45"/>
    </row>
    <row r="696" spans="15:15" ht="14.5" x14ac:dyDescent="0.35">
      <c r="O696" s="45"/>
    </row>
    <row r="697" spans="15:15" ht="14.5" x14ac:dyDescent="0.35">
      <c r="O697" s="45"/>
    </row>
    <row r="698" spans="15:15" ht="14.5" x14ac:dyDescent="0.35">
      <c r="O698" s="45"/>
    </row>
    <row r="699" spans="15:15" ht="14.5" x14ac:dyDescent="0.35">
      <c r="O699" s="45"/>
    </row>
    <row r="700" spans="15:15" ht="14.5" x14ac:dyDescent="0.35">
      <c r="O700" s="45"/>
    </row>
    <row r="701" spans="15:15" ht="14.5" x14ac:dyDescent="0.35">
      <c r="O701" s="45"/>
    </row>
    <row r="702" spans="15:15" ht="14.5" x14ac:dyDescent="0.35">
      <c r="O702" s="45"/>
    </row>
    <row r="703" spans="15:15" ht="14.5" x14ac:dyDescent="0.35">
      <c r="O703" s="45"/>
    </row>
    <row r="704" spans="15:15" ht="14.5" x14ac:dyDescent="0.35">
      <c r="O704" s="45"/>
    </row>
    <row r="705" spans="15:15" ht="14.5" x14ac:dyDescent="0.35">
      <c r="O705" s="45"/>
    </row>
    <row r="706" spans="15:15" ht="14.5" x14ac:dyDescent="0.35">
      <c r="O706" s="45"/>
    </row>
    <row r="707" spans="15:15" ht="14.5" x14ac:dyDescent="0.35">
      <c r="O707" s="45"/>
    </row>
    <row r="708" spans="15:15" ht="14.5" x14ac:dyDescent="0.35">
      <c r="O708" s="45"/>
    </row>
    <row r="709" spans="15:15" ht="14.5" x14ac:dyDescent="0.35">
      <c r="O709" s="45"/>
    </row>
    <row r="710" spans="15:15" ht="14.5" x14ac:dyDescent="0.35">
      <c r="O710" s="45"/>
    </row>
    <row r="711" spans="15:15" ht="14.5" x14ac:dyDescent="0.35">
      <c r="O711" s="45"/>
    </row>
    <row r="712" spans="15:15" ht="14.5" x14ac:dyDescent="0.35">
      <c r="O712" s="45"/>
    </row>
    <row r="713" spans="15:15" ht="14.5" x14ac:dyDescent="0.35">
      <c r="O713" s="45"/>
    </row>
    <row r="714" spans="15:15" ht="14.5" x14ac:dyDescent="0.35">
      <c r="O714" s="45"/>
    </row>
    <row r="715" spans="15:15" ht="14.5" x14ac:dyDescent="0.35">
      <c r="O715" s="45"/>
    </row>
    <row r="716" spans="15:15" ht="14.5" x14ac:dyDescent="0.35">
      <c r="O716" s="45"/>
    </row>
    <row r="717" spans="15:15" ht="14.5" x14ac:dyDescent="0.35">
      <c r="O717" s="45"/>
    </row>
    <row r="718" spans="15:15" ht="14.5" x14ac:dyDescent="0.35">
      <c r="O718" s="45"/>
    </row>
    <row r="719" spans="15:15" ht="14.5" x14ac:dyDescent="0.35">
      <c r="O719" s="45"/>
    </row>
    <row r="720" spans="15:15" ht="14.5" x14ac:dyDescent="0.35">
      <c r="O720" s="45"/>
    </row>
    <row r="721" spans="15:15" ht="14.5" x14ac:dyDescent="0.35">
      <c r="O721" s="45"/>
    </row>
    <row r="722" spans="15:15" ht="14.5" x14ac:dyDescent="0.35">
      <c r="O722" s="45"/>
    </row>
    <row r="723" spans="15:15" ht="14.5" x14ac:dyDescent="0.35">
      <c r="O723" s="45"/>
    </row>
    <row r="724" spans="15:15" ht="14.5" x14ac:dyDescent="0.35">
      <c r="O724" s="45"/>
    </row>
    <row r="725" spans="15:15" ht="14.5" x14ac:dyDescent="0.35">
      <c r="O725" s="45"/>
    </row>
    <row r="726" spans="15:15" ht="14.5" x14ac:dyDescent="0.35">
      <c r="O726" s="45"/>
    </row>
    <row r="727" spans="15:15" ht="14.5" x14ac:dyDescent="0.35">
      <c r="O727" s="45"/>
    </row>
    <row r="728" spans="15:15" ht="14.5" x14ac:dyDescent="0.35">
      <c r="O728" s="45"/>
    </row>
    <row r="729" spans="15:15" ht="14.5" x14ac:dyDescent="0.35">
      <c r="O729" s="45"/>
    </row>
    <row r="730" spans="15:15" ht="14.5" x14ac:dyDescent="0.35">
      <c r="O730" s="45"/>
    </row>
    <row r="731" spans="15:15" ht="14.5" x14ac:dyDescent="0.35">
      <c r="O731" s="45"/>
    </row>
    <row r="732" spans="15:15" ht="14.5" x14ac:dyDescent="0.35">
      <c r="O732" s="45"/>
    </row>
    <row r="733" spans="15:15" ht="14.5" x14ac:dyDescent="0.35">
      <c r="O733" s="45"/>
    </row>
    <row r="734" spans="15:15" ht="14.5" x14ac:dyDescent="0.35">
      <c r="O734" s="45"/>
    </row>
    <row r="735" spans="15:15" ht="14.5" x14ac:dyDescent="0.35">
      <c r="O735" s="45"/>
    </row>
    <row r="736" spans="15:15" ht="14.5" x14ac:dyDescent="0.35">
      <c r="O736" s="45"/>
    </row>
    <row r="737" spans="15:15" ht="14.5" x14ac:dyDescent="0.35">
      <c r="O737" s="45"/>
    </row>
    <row r="738" spans="15:15" ht="14.5" x14ac:dyDescent="0.35">
      <c r="O738" s="45"/>
    </row>
    <row r="739" spans="15:15" ht="14.5" x14ac:dyDescent="0.35">
      <c r="O739" s="45"/>
    </row>
    <row r="740" spans="15:15" ht="14.5" x14ac:dyDescent="0.35">
      <c r="O740" s="45"/>
    </row>
    <row r="741" spans="15:15" ht="14.5" x14ac:dyDescent="0.35">
      <c r="O741" s="45"/>
    </row>
    <row r="742" spans="15:15" ht="14.5" x14ac:dyDescent="0.35">
      <c r="O742" s="45"/>
    </row>
    <row r="743" spans="15:15" ht="14.5" x14ac:dyDescent="0.35">
      <c r="O743" s="45"/>
    </row>
    <row r="744" spans="15:15" ht="14.5" x14ac:dyDescent="0.35">
      <c r="O744" s="45"/>
    </row>
    <row r="745" spans="15:15" ht="14.5" x14ac:dyDescent="0.35">
      <c r="O745" s="45"/>
    </row>
    <row r="746" spans="15:15" ht="14.5" x14ac:dyDescent="0.35">
      <c r="O746" s="45"/>
    </row>
    <row r="747" spans="15:15" ht="14.5" x14ac:dyDescent="0.35">
      <c r="O747" s="45"/>
    </row>
    <row r="748" spans="15:15" ht="14.5" x14ac:dyDescent="0.35">
      <c r="O748" s="45"/>
    </row>
    <row r="749" spans="15:15" ht="14.5" x14ac:dyDescent="0.35">
      <c r="O749" s="45"/>
    </row>
    <row r="750" spans="15:15" ht="14.5" x14ac:dyDescent="0.35">
      <c r="O750" s="45"/>
    </row>
    <row r="751" spans="15:15" ht="14.5" x14ac:dyDescent="0.35">
      <c r="O751" s="45"/>
    </row>
    <row r="752" spans="15:15" ht="14.5" x14ac:dyDescent="0.35">
      <c r="O752" s="45"/>
    </row>
    <row r="753" spans="15:15" ht="14.5" x14ac:dyDescent="0.35">
      <c r="O753" s="45"/>
    </row>
    <row r="754" spans="15:15" ht="14.5" x14ac:dyDescent="0.35">
      <c r="O754" s="45"/>
    </row>
    <row r="755" spans="15:15" ht="14.5" x14ac:dyDescent="0.35">
      <c r="O755" s="45"/>
    </row>
    <row r="756" spans="15:15" ht="14.5" x14ac:dyDescent="0.35">
      <c r="O756" s="45"/>
    </row>
    <row r="757" spans="15:15" ht="14.5" x14ac:dyDescent="0.35">
      <c r="O757" s="45"/>
    </row>
    <row r="758" spans="15:15" ht="14.5" x14ac:dyDescent="0.35">
      <c r="O758" s="45"/>
    </row>
    <row r="759" spans="15:15" ht="14.5" x14ac:dyDescent="0.35">
      <c r="O759" s="45"/>
    </row>
    <row r="760" spans="15:15" ht="14.5" x14ac:dyDescent="0.35">
      <c r="O760" s="45"/>
    </row>
    <row r="761" spans="15:15" ht="14.5" x14ac:dyDescent="0.35">
      <c r="O761" s="45"/>
    </row>
    <row r="762" spans="15:15" ht="14.5" x14ac:dyDescent="0.35">
      <c r="O762" s="45"/>
    </row>
    <row r="763" spans="15:15" ht="14.5" x14ac:dyDescent="0.35">
      <c r="O763" s="45"/>
    </row>
    <row r="764" spans="15:15" ht="14.5" x14ac:dyDescent="0.35">
      <c r="O764" s="45"/>
    </row>
    <row r="765" spans="15:15" ht="14.5" x14ac:dyDescent="0.35">
      <c r="O765" s="45"/>
    </row>
    <row r="766" spans="15:15" ht="14.5" x14ac:dyDescent="0.35">
      <c r="O766" s="45"/>
    </row>
    <row r="767" spans="15:15" ht="14.5" x14ac:dyDescent="0.35">
      <c r="O767" s="45"/>
    </row>
    <row r="768" spans="15:15" ht="14.5" x14ac:dyDescent="0.35">
      <c r="O768" s="45"/>
    </row>
    <row r="769" spans="15:15" ht="14.5" x14ac:dyDescent="0.35">
      <c r="O769" s="45"/>
    </row>
    <row r="770" spans="15:15" ht="14.5" x14ac:dyDescent="0.35">
      <c r="O770" s="45"/>
    </row>
    <row r="771" spans="15:15" ht="14.5" x14ac:dyDescent="0.35">
      <c r="O771" s="45"/>
    </row>
    <row r="772" spans="15:15" ht="14.5" x14ac:dyDescent="0.35">
      <c r="O772" s="45"/>
    </row>
    <row r="773" spans="15:15" ht="14.5" x14ac:dyDescent="0.35">
      <c r="O773" s="45"/>
    </row>
    <row r="774" spans="15:15" ht="14.5" x14ac:dyDescent="0.35">
      <c r="O774" s="45"/>
    </row>
    <row r="775" spans="15:15" ht="14.5" x14ac:dyDescent="0.35">
      <c r="O775" s="45"/>
    </row>
    <row r="776" spans="15:15" ht="14.5" x14ac:dyDescent="0.35">
      <c r="O776" s="45"/>
    </row>
    <row r="777" spans="15:15" ht="14.5" x14ac:dyDescent="0.35">
      <c r="O777" s="45"/>
    </row>
    <row r="778" spans="15:15" ht="14.5" x14ac:dyDescent="0.35">
      <c r="O778" s="45"/>
    </row>
    <row r="779" spans="15:15" ht="14.5" x14ac:dyDescent="0.35">
      <c r="O779" s="45"/>
    </row>
    <row r="780" spans="15:15" ht="14.5" x14ac:dyDescent="0.35">
      <c r="O780" s="45"/>
    </row>
    <row r="781" spans="15:15" ht="14.5" x14ac:dyDescent="0.35">
      <c r="O781" s="45"/>
    </row>
    <row r="782" spans="15:15" ht="14.5" x14ac:dyDescent="0.35">
      <c r="O782" s="45"/>
    </row>
    <row r="783" spans="15:15" ht="14.5" x14ac:dyDescent="0.35">
      <c r="O783" s="45"/>
    </row>
    <row r="784" spans="15:15" ht="14.5" x14ac:dyDescent="0.35">
      <c r="O784" s="45"/>
    </row>
    <row r="785" spans="15:15" ht="14.5" x14ac:dyDescent="0.35">
      <c r="O785" s="45"/>
    </row>
    <row r="786" spans="15:15" ht="14.5" x14ac:dyDescent="0.35">
      <c r="O786" s="45"/>
    </row>
    <row r="787" spans="15:15" ht="14.5" x14ac:dyDescent="0.35">
      <c r="O787" s="45"/>
    </row>
    <row r="788" spans="15:15" ht="14.5" x14ac:dyDescent="0.35">
      <c r="O788" s="45"/>
    </row>
    <row r="789" spans="15:15" ht="14.5" x14ac:dyDescent="0.35">
      <c r="O789" s="45"/>
    </row>
    <row r="790" spans="15:15" ht="14.5" x14ac:dyDescent="0.35">
      <c r="O790" s="45"/>
    </row>
    <row r="791" spans="15:15" ht="14.5" x14ac:dyDescent="0.35">
      <c r="O791" s="45"/>
    </row>
    <row r="792" spans="15:15" ht="14.5" x14ac:dyDescent="0.35">
      <c r="O792" s="45"/>
    </row>
    <row r="793" spans="15:15" ht="14.5" x14ac:dyDescent="0.35">
      <c r="O793" s="45"/>
    </row>
    <row r="794" spans="15:15" ht="14.5" x14ac:dyDescent="0.35">
      <c r="O794" s="45"/>
    </row>
    <row r="795" spans="15:15" ht="14.5" x14ac:dyDescent="0.35">
      <c r="O795" s="45"/>
    </row>
    <row r="796" spans="15:15" ht="14.5" x14ac:dyDescent="0.35">
      <c r="O796" s="45"/>
    </row>
    <row r="797" spans="15:15" ht="14.5" x14ac:dyDescent="0.35">
      <c r="O797" s="45"/>
    </row>
    <row r="798" spans="15:15" ht="14.5" x14ac:dyDescent="0.35">
      <c r="O798" s="45"/>
    </row>
    <row r="799" spans="15:15" ht="14.5" x14ac:dyDescent="0.35">
      <c r="O799" s="45"/>
    </row>
    <row r="800" spans="15:15" ht="14.5" x14ac:dyDescent="0.35">
      <c r="O800" s="45"/>
    </row>
    <row r="801" spans="15:15" ht="14.5" x14ac:dyDescent="0.35">
      <c r="O801" s="45"/>
    </row>
    <row r="802" spans="15:15" ht="14.5" x14ac:dyDescent="0.35">
      <c r="O802" s="45"/>
    </row>
    <row r="803" spans="15:15" ht="14.5" x14ac:dyDescent="0.35">
      <c r="O803" s="45"/>
    </row>
    <row r="804" spans="15:15" ht="14.5" x14ac:dyDescent="0.35">
      <c r="O804" s="45"/>
    </row>
    <row r="805" spans="15:15" ht="14.5" x14ac:dyDescent="0.35">
      <c r="O805" s="45"/>
    </row>
    <row r="806" spans="15:15" ht="14.5" x14ac:dyDescent="0.35">
      <c r="O806" s="45"/>
    </row>
    <row r="807" spans="15:15" ht="14.5" x14ac:dyDescent="0.35">
      <c r="O807" s="45"/>
    </row>
    <row r="808" spans="15:15" ht="14.5" x14ac:dyDescent="0.35">
      <c r="O808" s="45"/>
    </row>
    <row r="809" spans="15:15" ht="14.5" x14ac:dyDescent="0.35">
      <c r="O809" s="45"/>
    </row>
    <row r="810" spans="15:15" ht="14.5" x14ac:dyDescent="0.35">
      <c r="O810" s="45"/>
    </row>
    <row r="811" spans="15:15" ht="14.5" x14ac:dyDescent="0.35">
      <c r="O811" s="45"/>
    </row>
    <row r="812" spans="15:15" ht="14.5" x14ac:dyDescent="0.35">
      <c r="O812" s="45"/>
    </row>
    <row r="813" spans="15:15" ht="14.5" x14ac:dyDescent="0.35">
      <c r="O813" s="45"/>
    </row>
    <row r="814" spans="15:15" ht="14.5" x14ac:dyDescent="0.35">
      <c r="O814" s="45"/>
    </row>
    <row r="815" spans="15:15" ht="14.5" x14ac:dyDescent="0.35">
      <c r="O815" s="45"/>
    </row>
    <row r="816" spans="15:15" ht="14.5" x14ac:dyDescent="0.35">
      <c r="O816" s="45"/>
    </row>
    <row r="817" spans="15:15" ht="14.5" x14ac:dyDescent="0.35">
      <c r="O817" s="45"/>
    </row>
    <row r="818" spans="15:15" ht="14.5" x14ac:dyDescent="0.35">
      <c r="O818" s="45"/>
    </row>
    <row r="819" spans="15:15" ht="14.5" x14ac:dyDescent="0.35">
      <c r="O819" s="45"/>
    </row>
    <row r="820" spans="15:15" ht="14.5" x14ac:dyDescent="0.35">
      <c r="O820" s="45"/>
    </row>
    <row r="821" spans="15:15" ht="14.5" x14ac:dyDescent="0.35">
      <c r="O821" s="45"/>
    </row>
    <row r="822" spans="15:15" ht="14.5" x14ac:dyDescent="0.35">
      <c r="O822" s="45"/>
    </row>
    <row r="823" spans="15:15" ht="14.5" x14ac:dyDescent="0.35">
      <c r="O823" s="45"/>
    </row>
    <row r="824" spans="15:15" ht="14.5" x14ac:dyDescent="0.35">
      <c r="O824" s="45"/>
    </row>
    <row r="825" spans="15:15" ht="14.5" x14ac:dyDescent="0.35">
      <c r="O825" s="45"/>
    </row>
    <row r="826" spans="15:15" ht="14.5" x14ac:dyDescent="0.35">
      <c r="O826" s="45"/>
    </row>
    <row r="827" spans="15:15" ht="14.5" x14ac:dyDescent="0.35">
      <c r="O827" s="45"/>
    </row>
    <row r="828" spans="15:15" ht="14.5" x14ac:dyDescent="0.35">
      <c r="O828" s="45"/>
    </row>
    <row r="829" spans="15:15" ht="14.5" x14ac:dyDescent="0.35">
      <c r="O829" s="45"/>
    </row>
    <row r="830" spans="15:15" ht="14.5" x14ac:dyDescent="0.35">
      <c r="O830" s="45"/>
    </row>
    <row r="831" spans="15:15" ht="14.5" x14ac:dyDescent="0.35">
      <c r="O831" s="45"/>
    </row>
    <row r="832" spans="15:15" ht="14.5" x14ac:dyDescent="0.35">
      <c r="O832" s="45"/>
    </row>
    <row r="833" spans="15:15" ht="14.5" x14ac:dyDescent="0.35">
      <c r="O833" s="45"/>
    </row>
    <row r="834" spans="15:15" ht="14.5" x14ac:dyDescent="0.35">
      <c r="O834" s="45"/>
    </row>
    <row r="835" spans="15:15" ht="14.5" x14ac:dyDescent="0.35">
      <c r="O835" s="45"/>
    </row>
    <row r="836" spans="15:15" ht="14.5" x14ac:dyDescent="0.35">
      <c r="O836" s="45"/>
    </row>
    <row r="837" spans="15:15" ht="14.5" x14ac:dyDescent="0.35">
      <c r="O837" s="45"/>
    </row>
    <row r="838" spans="15:15" ht="14.5" x14ac:dyDescent="0.35">
      <c r="O838" s="45"/>
    </row>
    <row r="839" spans="15:15" ht="14.5" x14ac:dyDescent="0.35">
      <c r="O839" s="45"/>
    </row>
    <row r="840" spans="15:15" ht="14.5" x14ac:dyDescent="0.35">
      <c r="O840" s="45"/>
    </row>
    <row r="841" spans="15:15" ht="14.5" x14ac:dyDescent="0.35">
      <c r="O841" s="45"/>
    </row>
    <row r="842" spans="15:15" ht="14.5" x14ac:dyDescent="0.35">
      <c r="O842" s="45"/>
    </row>
    <row r="843" spans="15:15" ht="14.5" x14ac:dyDescent="0.35">
      <c r="O843" s="45"/>
    </row>
    <row r="844" spans="15:15" ht="14.5" x14ac:dyDescent="0.35">
      <c r="O844" s="45"/>
    </row>
    <row r="845" spans="15:15" ht="14.5" x14ac:dyDescent="0.35">
      <c r="O845" s="45"/>
    </row>
    <row r="846" spans="15:15" ht="14.5" x14ac:dyDescent="0.35">
      <c r="O846" s="45"/>
    </row>
    <row r="847" spans="15:15" ht="14.5" x14ac:dyDescent="0.35">
      <c r="O847" s="45"/>
    </row>
    <row r="848" spans="15:15" ht="14.5" x14ac:dyDescent="0.35">
      <c r="O848" s="45"/>
    </row>
    <row r="849" spans="15:15" ht="14.5" x14ac:dyDescent="0.35">
      <c r="O849" s="45"/>
    </row>
    <row r="850" spans="15:15" ht="14.5" x14ac:dyDescent="0.35">
      <c r="O850" s="45"/>
    </row>
    <row r="851" spans="15:15" ht="14.5" x14ac:dyDescent="0.35">
      <c r="O851" s="45"/>
    </row>
    <row r="852" spans="15:15" ht="14.5" x14ac:dyDescent="0.35">
      <c r="O852" s="45"/>
    </row>
    <row r="853" spans="15:15" ht="14.5" x14ac:dyDescent="0.35">
      <c r="O853" s="45"/>
    </row>
    <row r="854" spans="15:15" ht="14.5" x14ac:dyDescent="0.35">
      <c r="O854" s="45"/>
    </row>
    <row r="855" spans="15:15" ht="14.5" x14ac:dyDescent="0.35">
      <c r="O855" s="45"/>
    </row>
    <row r="856" spans="15:15" ht="14.5" x14ac:dyDescent="0.35">
      <c r="O856" s="45"/>
    </row>
    <row r="857" spans="15:15" ht="14.5" x14ac:dyDescent="0.35">
      <c r="O857" s="45"/>
    </row>
    <row r="858" spans="15:15" ht="14.5" x14ac:dyDescent="0.35">
      <c r="O858" s="45"/>
    </row>
    <row r="859" spans="15:15" ht="14.5" x14ac:dyDescent="0.35">
      <c r="O859" s="45"/>
    </row>
    <row r="860" spans="15:15" ht="14.5" x14ac:dyDescent="0.35">
      <c r="O860" s="45"/>
    </row>
    <row r="861" spans="15:15" ht="14.5" x14ac:dyDescent="0.35">
      <c r="O861" s="45"/>
    </row>
    <row r="862" spans="15:15" ht="14.5" x14ac:dyDescent="0.35">
      <c r="O862" s="45"/>
    </row>
    <row r="863" spans="15:15" ht="14.5" x14ac:dyDescent="0.35">
      <c r="O863" s="45"/>
    </row>
    <row r="864" spans="15:15" ht="14.5" x14ac:dyDescent="0.35">
      <c r="O864" s="45"/>
    </row>
    <row r="865" spans="15:15" ht="14.5" x14ac:dyDescent="0.35">
      <c r="O865" s="45"/>
    </row>
    <row r="866" spans="15:15" ht="14.5" x14ac:dyDescent="0.35">
      <c r="O866" s="45"/>
    </row>
    <row r="867" spans="15:15" ht="14.5" x14ac:dyDescent="0.35">
      <c r="O867" s="45"/>
    </row>
    <row r="868" spans="15:15" ht="14.5" x14ac:dyDescent="0.35">
      <c r="O868" s="45"/>
    </row>
    <row r="869" spans="15:15" ht="14.5" x14ac:dyDescent="0.35">
      <c r="O869" s="45"/>
    </row>
    <row r="870" spans="15:15" ht="14.5" x14ac:dyDescent="0.35">
      <c r="O870" s="45"/>
    </row>
    <row r="871" spans="15:15" ht="14.5" x14ac:dyDescent="0.35">
      <c r="O871" s="45"/>
    </row>
    <row r="872" spans="15:15" ht="14.5" x14ac:dyDescent="0.35">
      <c r="O872" s="45"/>
    </row>
    <row r="873" spans="15:15" ht="14.5" x14ac:dyDescent="0.35">
      <c r="O873" s="45"/>
    </row>
    <row r="874" spans="15:15" ht="14.5" x14ac:dyDescent="0.35">
      <c r="O874" s="45"/>
    </row>
    <row r="875" spans="15:15" ht="14.5" x14ac:dyDescent="0.35">
      <c r="O875" s="45"/>
    </row>
    <row r="876" spans="15:15" ht="14.5" x14ac:dyDescent="0.35">
      <c r="O876" s="45"/>
    </row>
    <row r="877" spans="15:15" ht="14.5" x14ac:dyDescent="0.35">
      <c r="O877" s="45"/>
    </row>
    <row r="878" spans="15:15" ht="14.5" x14ac:dyDescent="0.35">
      <c r="O878" s="45"/>
    </row>
    <row r="879" spans="15:15" ht="14.5" x14ac:dyDescent="0.35">
      <c r="O879" s="45"/>
    </row>
    <row r="880" spans="15:15" ht="14.5" x14ac:dyDescent="0.35">
      <c r="O880" s="45"/>
    </row>
    <row r="881" spans="15:15" ht="14.5" x14ac:dyDescent="0.35">
      <c r="O881" s="45"/>
    </row>
    <row r="882" spans="15:15" ht="14.5" x14ac:dyDescent="0.35">
      <c r="O882" s="45"/>
    </row>
    <row r="883" spans="15:15" ht="14.5" x14ac:dyDescent="0.35">
      <c r="O883" s="45"/>
    </row>
    <row r="884" spans="15:15" ht="14.5" x14ac:dyDescent="0.35">
      <c r="O884" s="45"/>
    </row>
    <row r="885" spans="15:15" ht="14.5" x14ac:dyDescent="0.35">
      <c r="O885" s="45"/>
    </row>
    <row r="886" spans="15:15" ht="14.5" x14ac:dyDescent="0.35">
      <c r="O886" s="45"/>
    </row>
    <row r="887" spans="15:15" ht="14.5" x14ac:dyDescent="0.35">
      <c r="O887" s="45"/>
    </row>
    <row r="888" spans="15:15" ht="14.5" x14ac:dyDescent="0.35">
      <c r="O888" s="45"/>
    </row>
    <row r="889" spans="15:15" ht="14.5" x14ac:dyDescent="0.35">
      <c r="O889" s="45"/>
    </row>
    <row r="890" spans="15:15" ht="14.5" x14ac:dyDescent="0.35">
      <c r="O890" s="45"/>
    </row>
    <row r="891" spans="15:15" ht="14.5" x14ac:dyDescent="0.35">
      <c r="O891" s="45"/>
    </row>
    <row r="892" spans="15:15" ht="14.5" x14ac:dyDescent="0.35">
      <c r="O892" s="45"/>
    </row>
    <row r="893" spans="15:15" ht="14.5" x14ac:dyDescent="0.35">
      <c r="O893" s="45"/>
    </row>
    <row r="894" spans="15:15" ht="14.5" x14ac:dyDescent="0.35">
      <c r="O894" s="45"/>
    </row>
    <row r="895" spans="15:15" ht="14.5" x14ac:dyDescent="0.35">
      <c r="O895" s="45"/>
    </row>
    <row r="896" spans="15:15" ht="14.5" x14ac:dyDescent="0.35">
      <c r="O896" s="45"/>
    </row>
    <row r="897" spans="15:15" ht="14.5" x14ac:dyDescent="0.35">
      <c r="O897" s="45"/>
    </row>
    <row r="898" spans="15:15" ht="14.5" x14ac:dyDescent="0.35">
      <c r="O898" s="45"/>
    </row>
    <row r="899" spans="15:15" ht="14.5" x14ac:dyDescent="0.35">
      <c r="O899" s="45"/>
    </row>
    <row r="900" spans="15:15" ht="14.5" x14ac:dyDescent="0.35">
      <c r="O900" s="45"/>
    </row>
    <row r="901" spans="15:15" ht="14.5" x14ac:dyDescent="0.35">
      <c r="O901" s="45"/>
    </row>
    <row r="902" spans="15:15" ht="14.5" x14ac:dyDescent="0.35">
      <c r="O902" s="45"/>
    </row>
    <row r="903" spans="15:15" ht="14.5" x14ac:dyDescent="0.35">
      <c r="O903" s="45"/>
    </row>
    <row r="904" spans="15:15" ht="14.5" x14ac:dyDescent="0.35">
      <c r="O904" s="45"/>
    </row>
    <row r="905" spans="15:15" ht="14.5" x14ac:dyDescent="0.35">
      <c r="O905" s="45"/>
    </row>
    <row r="906" spans="15:15" ht="14.5" x14ac:dyDescent="0.35">
      <c r="O906" s="45"/>
    </row>
    <row r="907" spans="15:15" ht="14.5" x14ac:dyDescent="0.35">
      <c r="O907" s="45"/>
    </row>
    <row r="908" spans="15:15" ht="14.5" x14ac:dyDescent="0.35">
      <c r="O908" s="45"/>
    </row>
    <row r="909" spans="15:15" ht="14.5" x14ac:dyDescent="0.35">
      <c r="O909" s="45"/>
    </row>
    <row r="910" spans="15:15" ht="14.5" x14ac:dyDescent="0.35">
      <c r="O910" s="45"/>
    </row>
    <row r="911" spans="15:15" ht="14.5" x14ac:dyDescent="0.35">
      <c r="O911" s="45"/>
    </row>
    <row r="912" spans="15:15" ht="14.5" x14ac:dyDescent="0.35">
      <c r="O912" s="45"/>
    </row>
    <row r="913" spans="15:15" ht="14.5" x14ac:dyDescent="0.35">
      <c r="O913" s="45"/>
    </row>
    <row r="914" spans="15:15" ht="14.5" x14ac:dyDescent="0.35">
      <c r="O914" s="45"/>
    </row>
    <row r="915" spans="15:15" ht="14.5" x14ac:dyDescent="0.35">
      <c r="O915" s="45"/>
    </row>
    <row r="916" spans="15:15" ht="14.5" x14ac:dyDescent="0.35">
      <c r="O916" s="45"/>
    </row>
    <row r="917" spans="15:15" ht="14.5" x14ac:dyDescent="0.35">
      <c r="O917" s="45"/>
    </row>
    <row r="918" spans="15:15" ht="14.5" x14ac:dyDescent="0.35">
      <c r="O918" s="45"/>
    </row>
    <row r="919" spans="15:15" ht="14.5" x14ac:dyDescent="0.35">
      <c r="O919" s="45"/>
    </row>
    <row r="920" spans="15:15" ht="14.5" x14ac:dyDescent="0.35">
      <c r="O920" s="45"/>
    </row>
    <row r="921" spans="15:15" ht="14.5" x14ac:dyDescent="0.35">
      <c r="O921" s="45"/>
    </row>
    <row r="922" spans="15:15" ht="14.5" x14ac:dyDescent="0.35">
      <c r="O922" s="45"/>
    </row>
    <row r="923" spans="15:15" ht="14.5" x14ac:dyDescent="0.35">
      <c r="O923" s="45"/>
    </row>
    <row r="924" spans="15:15" ht="14.5" x14ac:dyDescent="0.35">
      <c r="O924" s="45"/>
    </row>
    <row r="925" spans="15:15" ht="14.5" x14ac:dyDescent="0.35">
      <c r="O925" s="45"/>
    </row>
    <row r="926" spans="15:15" ht="14.5" x14ac:dyDescent="0.35">
      <c r="O926" s="45"/>
    </row>
    <row r="927" spans="15:15" ht="14.5" x14ac:dyDescent="0.35">
      <c r="O927" s="45"/>
    </row>
    <row r="928" spans="15:15" ht="14.5" x14ac:dyDescent="0.35">
      <c r="O928" s="45"/>
    </row>
    <row r="929" spans="15:15" ht="14.5" x14ac:dyDescent="0.35">
      <c r="O929" s="45"/>
    </row>
    <row r="930" spans="15:15" ht="14.5" x14ac:dyDescent="0.35">
      <c r="O930" s="45"/>
    </row>
    <row r="931" spans="15:15" ht="14.5" x14ac:dyDescent="0.35">
      <c r="O931" s="45"/>
    </row>
    <row r="932" spans="15:15" ht="14.5" x14ac:dyDescent="0.35">
      <c r="O932" s="45"/>
    </row>
    <row r="933" spans="15:15" ht="14.5" x14ac:dyDescent="0.35">
      <c r="O933" s="45"/>
    </row>
    <row r="934" spans="15:15" ht="14.5" x14ac:dyDescent="0.35">
      <c r="O934" s="45"/>
    </row>
    <row r="935" spans="15:15" ht="14.5" x14ac:dyDescent="0.35">
      <c r="O935" s="45"/>
    </row>
    <row r="936" spans="15:15" ht="14.5" x14ac:dyDescent="0.35">
      <c r="O936" s="45"/>
    </row>
    <row r="937" spans="15:15" ht="14.5" x14ac:dyDescent="0.35">
      <c r="O937" s="45"/>
    </row>
    <row r="938" spans="15:15" ht="14.5" x14ac:dyDescent="0.35">
      <c r="O938" s="45"/>
    </row>
    <row r="939" spans="15:15" ht="14.5" x14ac:dyDescent="0.35">
      <c r="O939" s="45"/>
    </row>
    <row r="940" spans="15:15" ht="14.5" x14ac:dyDescent="0.35">
      <c r="O940" s="45"/>
    </row>
    <row r="941" spans="15:15" ht="14.5" x14ac:dyDescent="0.35">
      <c r="O941" s="45"/>
    </row>
    <row r="942" spans="15:15" ht="14.5" x14ac:dyDescent="0.35">
      <c r="O942" s="45"/>
    </row>
    <row r="943" spans="15:15" ht="14.5" x14ac:dyDescent="0.35">
      <c r="O943" s="45"/>
    </row>
    <row r="944" spans="15:15" ht="14.5" x14ac:dyDescent="0.35">
      <c r="O944" s="45"/>
    </row>
    <row r="945" spans="15:15" ht="14.5" x14ac:dyDescent="0.35">
      <c r="O945" s="45"/>
    </row>
    <row r="946" spans="15:15" ht="14.5" x14ac:dyDescent="0.35">
      <c r="O946" s="45"/>
    </row>
    <row r="947" spans="15:15" ht="14.5" x14ac:dyDescent="0.35">
      <c r="O947" s="45"/>
    </row>
    <row r="948" spans="15:15" ht="14.5" x14ac:dyDescent="0.35">
      <c r="O948" s="45"/>
    </row>
    <row r="949" spans="15:15" ht="14.5" x14ac:dyDescent="0.35">
      <c r="O949" s="45"/>
    </row>
    <row r="950" spans="15:15" ht="14.5" x14ac:dyDescent="0.35">
      <c r="O950" s="45"/>
    </row>
    <row r="951" spans="15:15" ht="14.5" x14ac:dyDescent="0.35">
      <c r="O951" s="45"/>
    </row>
    <row r="952" spans="15:15" ht="14.5" x14ac:dyDescent="0.35">
      <c r="O952" s="45"/>
    </row>
    <row r="953" spans="15:15" ht="14.5" x14ac:dyDescent="0.35">
      <c r="O953" s="45"/>
    </row>
    <row r="954" spans="15:15" ht="14.5" x14ac:dyDescent="0.35">
      <c r="O954" s="45"/>
    </row>
    <row r="955" spans="15:15" ht="14.5" x14ac:dyDescent="0.35">
      <c r="O955" s="45"/>
    </row>
    <row r="956" spans="15:15" ht="14.5" x14ac:dyDescent="0.35">
      <c r="O956" s="45"/>
    </row>
    <row r="957" spans="15:15" ht="14.5" x14ac:dyDescent="0.35">
      <c r="O957" s="45"/>
    </row>
    <row r="958" spans="15:15" ht="14.5" x14ac:dyDescent="0.35">
      <c r="O958" s="45"/>
    </row>
    <row r="959" spans="15:15" ht="14.5" x14ac:dyDescent="0.35">
      <c r="O959" s="45"/>
    </row>
    <row r="960" spans="15:15" ht="14.5" x14ac:dyDescent="0.35">
      <c r="O960" s="45"/>
    </row>
    <row r="961" spans="15:15" ht="14.5" x14ac:dyDescent="0.35">
      <c r="O961" s="45"/>
    </row>
    <row r="962" spans="15:15" ht="14.5" x14ac:dyDescent="0.35">
      <c r="O962" s="45"/>
    </row>
    <row r="963" spans="15:15" ht="14.5" x14ac:dyDescent="0.35">
      <c r="O963" s="45"/>
    </row>
    <row r="964" spans="15:15" ht="14.5" x14ac:dyDescent="0.35">
      <c r="O964" s="45"/>
    </row>
    <row r="965" spans="15:15" ht="14.5" x14ac:dyDescent="0.35">
      <c r="O965" s="45"/>
    </row>
    <row r="966" spans="15:15" ht="14.5" x14ac:dyDescent="0.35">
      <c r="O966" s="45"/>
    </row>
    <row r="967" spans="15:15" ht="14.5" x14ac:dyDescent="0.35">
      <c r="O967" s="45"/>
    </row>
    <row r="968" spans="15:15" ht="14.5" x14ac:dyDescent="0.35">
      <c r="O968" s="45"/>
    </row>
    <row r="969" spans="15:15" ht="14.5" x14ac:dyDescent="0.35">
      <c r="O969" s="45"/>
    </row>
    <row r="970" spans="15:15" ht="14.5" x14ac:dyDescent="0.35">
      <c r="O970" s="45"/>
    </row>
    <row r="971" spans="15:15" ht="14.5" x14ac:dyDescent="0.35">
      <c r="O971" s="45"/>
    </row>
    <row r="972" spans="15:15" ht="14.5" x14ac:dyDescent="0.35">
      <c r="O972" s="45"/>
    </row>
    <row r="973" spans="15:15" ht="14.5" x14ac:dyDescent="0.35">
      <c r="O973" s="45"/>
    </row>
    <row r="974" spans="15:15" ht="14.5" x14ac:dyDescent="0.35">
      <c r="O974" s="45"/>
    </row>
    <row r="975" spans="15:15" ht="14.5" x14ac:dyDescent="0.35">
      <c r="O975" s="45"/>
    </row>
    <row r="976" spans="15:15" ht="14.5" x14ac:dyDescent="0.35">
      <c r="O976" s="45"/>
    </row>
    <row r="977" spans="15:15" ht="14.5" x14ac:dyDescent="0.35">
      <c r="O977" s="45"/>
    </row>
    <row r="978" spans="15:15" ht="14.5" x14ac:dyDescent="0.35">
      <c r="O978" s="45"/>
    </row>
    <row r="979" spans="15:15" ht="14.5" x14ac:dyDescent="0.35">
      <c r="O979" s="45"/>
    </row>
    <row r="980" spans="15:15" ht="14.5" x14ac:dyDescent="0.35">
      <c r="O980" s="45"/>
    </row>
    <row r="981" spans="15:15" ht="14.5" x14ac:dyDescent="0.35">
      <c r="O981" s="45"/>
    </row>
    <row r="982" spans="15:15" ht="14.5" x14ac:dyDescent="0.35">
      <c r="O982" s="45"/>
    </row>
    <row r="983" spans="15:15" ht="14.5" x14ac:dyDescent="0.35">
      <c r="O983" s="45"/>
    </row>
    <row r="984" spans="15:15" ht="14.5" x14ac:dyDescent="0.35">
      <c r="O984" s="45"/>
    </row>
    <row r="985" spans="15:15" ht="14.5" x14ac:dyDescent="0.35">
      <c r="O985" s="45"/>
    </row>
    <row r="986" spans="15:15" ht="14.5" x14ac:dyDescent="0.35">
      <c r="O986" s="45"/>
    </row>
    <row r="987" spans="15:15" ht="14.5" x14ac:dyDescent="0.35">
      <c r="O987" s="45"/>
    </row>
    <row r="988" spans="15:15" ht="14.5" x14ac:dyDescent="0.35">
      <c r="O988" s="45"/>
    </row>
    <row r="989" spans="15:15" ht="14.5" x14ac:dyDescent="0.35">
      <c r="O989" s="45"/>
    </row>
    <row r="990" spans="15:15" ht="14.5" x14ac:dyDescent="0.35">
      <c r="O990" s="45"/>
    </row>
    <row r="991" spans="15:15" ht="14.5" x14ac:dyDescent="0.35">
      <c r="O991" s="45"/>
    </row>
    <row r="992" spans="15:15" ht="14.5" x14ac:dyDescent="0.35">
      <c r="O992" s="45"/>
    </row>
    <row r="993" spans="15:15" ht="14.5" x14ac:dyDescent="0.35">
      <c r="O993" s="45"/>
    </row>
    <row r="994" spans="15:15" ht="14.5" x14ac:dyDescent="0.35">
      <c r="O994" s="45"/>
    </row>
    <row r="995" spans="15:15" ht="14.5" x14ac:dyDescent="0.35">
      <c r="O995" s="45"/>
    </row>
    <row r="996" spans="15:15" ht="14.5" x14ac:dyDescent="0.35">
      <c r="O996" s="45"/>
    </row>
    <row r="997" spans="15:15" ht="14.5" x14ac:dyDescent="0.35">
      <c r="O997" s="45"/>
    </row>
    <row r="998" spans="15:15" ht="14.5" x14ac:dyDescent="0.35">
      <c r="O998" s="45"/>
    </row>
    <row r="999" spans="15:15" ht="14.5" x14ac:dyDescent="0.35">
      <c r="O999" s="45"/>
    </row>
    <row r="1000" spans="15:15" ht="14.5" x14ac:dyDescent="0.35">
      <c r="O1000" s="45"/>
    </row>
    <row r="1001" spans="15:15" ht="14.5" x14ac:dyDescent="0.35">
      <c r="O1001" s="45"/>
    </row>
    <row r="1002" spans="15:15" ht="14.5" x14ac:dyDescent="0.35">
      <c r="O1002" s="45"/>
    </row>
    <row r="1003" spans="15:15" ht="14.5" x14ac:dyDescent="0.35">
      <c r="O1003" s="45"/>
    </row>
    <row r="1004" spans="15:15" ht="14.5" x14ac:dyDescent="0.35">
      <c r="O1004" s="45"/>
    </row>
    <row r="1005" spans="15:15" ht="14.5" x14ac:dyDescent="0.35">
      <c r="O1005" s="45"/>
    </row>
    <row r="1006" spans="15:15" ht="14.5" x14ac:dyDescent="0.35">
      <c r="O1006" s="45"/>
    </row>
    <row r="1007" spans="15:15" ht="14.5" x14ac:dyDescent="0.35">
      <c r="O1007" s="45"/>
    </row>
    <row r="1008" spans="15:15" ht="14.5" x14ac:dyDescent="0.35">
      <c r="O1008" s="45"/>
    </row>
    <row r="1009" spans="15:15" ht="14.5" x14ac:dyDescent="0.35">
      <c r="O1009" s="45"/>
    </row>
    <row r="1010" spans="15:15" ht="14.5" x14ac:dyDescent="0.35">
      <c r="O1010" s="45"/>
    </row>
    <row r="1011" spans="15:15" ht="14.5" x14ac:dyDescent="0.35">
      <c r="O1011" s="45"/>
    </row>
    <row r="1012" spans="15:15" ht="14.5" x14ac:dyDescent="0.35">
      <c r="O1012" s="45"/>
    </row>
    <row r="1013" spans="15:15" ht="14.5" x14ac:dyDescent="0.35">
      <c r="O1013" s="45"/>
    </row>
    <row r="1014" spans="15:15" ht="14.5" x14ac:dyDescent="0.35">
      <c r="O1014" s="45"/>
    </row>
    <row r="1015" spans="15:15" ht="14.5" x14ac:dyDescent="0.35">
      <c r="O1015" s="45"/>
    </row>
    <row r="1016" spans="15:15" ht="14.5" x14ac:dyDescent="0.35">
      <c r="O1016" s="45"/>
    </row>
    <row r="1017" spans="15:15" ht="14.5" x14ac:dyDescent="0.35">
      <c r="O1017" s="45"/>
    </row>
    <row r="1018" spans="15:15" ht="14.5" x14ac:dyDescent="0.35">
      <c r="O1018" s="45"/>
    </row>
    <row r="1019" spans="15:15" ht="14.5" x14ac:dyDescent="0.35">
      <c r="O1019" s="45"/>
    </row>
    <row r="1020" spans="15:15" ht="14.5" x14ac:dyDescent="0.35">
      <c r="O1020" s="45"/>
    </row>
    <row r="1021" spans="15:15" ht="14.5" x14ac:dyDescent="0.35">
      <c r="O1021" s="45"/>
    </row>
    <row r="1022" spans="15:15" ht="14.5" x14ac:dyDescent="0.35">
      <c r="O1022" s="45"/>
    </row>
    <row r="1023" spans="15:15" ht="14.5" x14ac:dyDescent="0.35">
      <c r="O1023" s="45"/>
    </row>
    <row r="1024" spans="15:15" ht="14.5" x14ac:dyDescent="0.35">
      <c r="O1024" s="45"/>
    </row>
    <row r="1025" spans="15:15" ht="14.5" x14ac:dyDescent="0.35">
      <c r="O1025" s="45"/>
    </row>
    <row r="1026" spans="15:15" ht="14.5" x14ac:dyDescent="0.35">
      <c r="O1026" s="45"/>
    </row>
    <row r="1027" spans="15:15" ht="14.5" x14ac:dyDescent="0.35">
      <c r="O1027" s="45"/>
    </row>
    <row r="1028" spans="15:15" ht="14.5" x14ac:dyDescent="0.35">
      <c r="O1028" s="45"/>
    </row>
    <row r="1029" spans="15:15" ht="14.5" x14ac:dyDescent="0.35">
      <c r="O1029" s="45"/>
    </row>
    <row r="1030" spans="15:15" ht="14.5" x14ac:dyDescent="0.35">
      <c r="O1030" s="45"/>
    </row>
    <row r="1031" spans="15:15" ht="14.5" x14ac:dyDescent="0.35">
      <c r="O1031" s="45"/>
    </row>
    <row r="1032" spans="15:15" ht="14.5" x14ac:dyDescent="0.35">
      <c r="O1032" s="45"/>
    </row>
    <row r="1033" spans="15:15" ht="14.5" x14ac:dyDescent="0.35">
      <c r="O1033" s="45"/>
    </row>
  </sheetData>
  <sortState xmlns:xlrd2="http://schemas.microsoft.com/office/spreadsheetml/2017/richdata2" ref="A2:P233">
    <sortCondition ref="G2:G233"/>
  </sortState>
  <phoneticPr fontId="4" type="noConversion"/>
  <conditionalFormatting sqref="A2:A440">
    <cfRule type="duplicateValues" dxfId="7" priority="68"/>
  </conditionalFormatting>
  <conditionalFormatting sqref="A2:A602">
    <cfRule type="duplicateValues" dxfId="6" priority="140"/>
  </conditionalFormatting>
  <conditionalFormatting sqref="A450:A468 A470:A506">
    <cfRule type="duplicateValues" dxfId="5" priority="69"/>
  </conditionalFormatting>
  <conditionalFormatting sqref="A470:A506 A2:A468">
    <cfRule type="duplicateValues" dxfId="4" priority="72"/>
  </conditionalFormatting>
  <conditionalFormatting sqref="A601:A602">
    <cfRule type="duplicateValues" dxfId="3" priority="139"/>
  </conditionalFormatting>
  <dataValidations count="1">
    <dataValidation type="list" allowBlank="1" showInputMessage="1" showErrorMessage="1" sqref="N1:N1048576" xr:uid="{447D0BF0-B8D6-478F-8920-EF804F045209}">
      <formula1>$N:$N</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5867-CD0F-4EC2-BFC3-C0F0B6CDC2E0}">
  <sheetPr codeName="Planilha3"/>
  <dimension ref="A1:D11"/>
  <sheetViews>
    <sheetView zoomScale="80" zoomScaleNormal="80" workbookViewId="0">
      <selection activeCell="B15" sqref="B15"/>
    </sheetView>
  </sheetViews>
  <sheetFormatPr defaultRowHeight="14.5" x14ac:dyDescent="0.35"/>
  <cols>
    <col min="1" max="1" width="22.7265625" bestFit="1" customWidth="1"/>
    <col min="2" max="2" width="31.81640625" bestFit="1" customWidth="1"/>
    <col min="3" max="3" width="11" bestFit="1" customWidth="1"/>
    <col min="4" max="5" width="10.1796875" bestFit="1" customWidth="1"/>
    <col min="6" max="6" width="26.7265625" bestFit="1" customWidth="1"/>
    <col min="7" max="7" width="18.453125" bestFit="1" customWidth="1"/>
    <col min="8" max="8" width="17.7265625" bestFit="1" customWidth="1"/>
    <col min="9" max="9" width="10.81640625" bestFit="1" customWidth="1"/>
    <col min="10" max="10" width="13.54296875" bestFit="1" customWidth="1"/>
    <col min="11" max="11" width="6.54296875" bestFit="1" customWidth="1"/>
    <col min="12" max="12" width="10.1796875" bestFit="1" customWidth="1"/>
    <col min="13" max="59" width="23.26953125" bestFit="1" customWidth="1"/>
    <col min="60" max="60" width="10.1796875" bestFit="1" customWidth="1"/>
  </cols>
  <sheetData>
    <row r="1" spans="1:4" x14ac:dyDescent="0.35">
      <c r="A1" s="2" t="s">
        <v>1989</v>
      </c>
      <c r="B1" t="s">
        <v>1990</v>
      </c>
    </row>
    <row r="2" spans="1:4" x14ac:dyDescent="0.35">
      <c r="A2" s="2" t="s">
        <v>1991</v>
      </c>
      <c r="B2" t="s">
        <v>1992</v>
      </c>
    </row>
    <row r="4" spans="1:4" x14ac:dyDescent="0.35">
      <c r="B4" s="2" t="s">
        <v>1993</v>
      </c>
    </row>
    <row r="5" spans="1:4" x14ac:dyDescent="0.35">
      <c r="B5" t="s">
        <v>1994</v>
      </c>
      <c r="C5" t="s">
        <v>1995</v>
      </c>
      <c r="D5" t="s">
        <v>1996</v>
      </c>
    </row>
    <row r="6" spans="1:4" x14ac:dyDescent="0.35">
      <c r="A6" t="s">
        <v>1997</v>
      </c>
      <c r="B6">
        <v>92</v>
      </c>
      <c r="C6">
        <v>92</v>
      </c>
      <c r="D6">
        <v>184</v>
      </c>
    </row>
    <row r="8" spans="1:4" x14ac:dyDescent="0.35">
      <c r="A8" s="9" t="s">
        <v>1994</v>
      </c>
      <c r="B8">
        <v>50</v>
      </c>
    </row>
    <row r="9" spans="1:4" x14ac:dyDescent="0.35">
      <c r="A9" t="s">
        <v>1995</v>
      </c>
      <c r="B9">
        <v>95</v>
      </c>
    </row>
    <row r="11" spans="1:4" x14ac:dyDescent="0.35">
      <c r="C11" s="8" t="s">
        <v>1998</v>
      </c>
    </row>
  </sheetData>
  <pageMargins left="0.511811024" right="0.511811024" top="0.78740157499999996" bottom="0.78740157499999996" header="0.31496062000000002" footer="0.31496062000000002"/>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65F0E-2532-498D-A4C5-BBE12CD4A46A}">
  <sheetPr codeName="Planilha4"/>
  <dimension ref="A3:F12"/>
  <sheetViews>
    <sheetView topLeftCell="B1" zoomScale="85" zoomScaleNormal="85" workbookViewId="0">
      <selection activeCell="D26" sqref="D26"/>
    </sheetView>
  </sheetViews>
  <sheetFormatPr defaultRowHeight="14.5" x14ac:dyDescent="0.35"/>
  <cols>
    <col min="1" max="1" width="12" customWidth="1"/>
    <col min="2" max="2" width="37.1796875" bestFit="1" customWidth="1"/>
    <col min="3" max="3" width="16.26953125" customWidth="1"/>
    <col min="4" max="4" width="11" customWidth="1"/>
    <col min="5" max="5" width="36.26953125" customWidth="1"/>
    <col min="6" max="6" width="16" customWidth="1"/>
    <col min="7" max="7" width="15.1796875" bestFit="1" customWidth="1"/>
    <col min="8" max="8" width="12.1796875" bestFit="1" customWidth="1"/>
    <col min="9" max="9" width="16.1796875" bestFit="1" customWidth="1"/>
    <col min="10" max="10" width="15.1796875" bestFit="1" customWidth="1"/>
    <col min="11" max="11" width="11.81640625" bestFit="1" customWidth="1"/>
    <col min="12" max="12" width="12" bestFit="1" customWidth="1"/>
    <col min="13" max="13" width="10.26953125" bestFit="1" customWidth="1"/>
    <col min="14" max="14" width="13.81640625" bestFit="1" customWidth="1"/>
    <col min="15" max="15" width="13.1796875" bestFit="1" customWidth="1"/>
    <col min="16" max="16" width="12.26953125" bestFit="1" customWidth="1"/>
    <col min="17" max="17" width="13.453125" bestFit="1" customWidth="1"/>
    <col min="18" max="18" width="13.1796875" bestFit="1" customWidth="1"/>
    <col min="19" max="19" width="9.453125" bestFit="1" customWidth="1"/>
    <col min="20" max="20" width="17.1796875" bestFit="1" customWidth="1"/>
    <col min="21" max="21" width="12.26953125" bestFit="1" customWidth="1"/>
    <col min="22" max="22" width="12.453125" bestFit="1" customWidth="1"/>
    <col min="23" max="23" width="13.81640625" bestFit="1" customWidth="1"/>
    <col min="24" max="24" width="10.26953125" bestFit="1" customWidth="1"/>
    <col min="25" max="25" width="16.81640625" bestFit="1" customWidth="1"/>
    <col min="26" max="26" width="11.7265625" bestFit="1" customWidth="1"/>
    <col min="27" max="27" width="9.453125" bestFit="1" customWidth="1"/>
    <col min="28" max="28" width="10.453125" bestFit="1" customWidth="1"/>
    <col min="29" max="29" width="10.81640625" bestFit="1" customWidth="1"/>
    <col min="30" max="30" width="12.81640625" bestFit="1" customWidth="1"/>
    <col min="31" max="31" width="9" bestFit="1" customWidth="1"/>
    <col min="32" max="32" width="10.1796875" bestFit="1" customWidth="1"/>
    <col min="33" max="33" width="14" bestFit="1" customWidth="1"/>
    <col min="34" max="34" width="14.81640625" bestFit="1" customWidth="1"/>
    <col min="35" max="35" width="22.453125" bestFit="1" customWidth="1"/>
    <col min="36" max="36" width="12.453125" bestFit="1" customWidth="1"/>
    <col min="37" max="37" width="11.81640625" bestFit="1" customWidth="1"/>
    <col min="38" max="38" width="12.26953125" bestFit="1" customWidth="1"/>
    <col min="39" max="39" width="13.1796875" bestFit="1" customWidth="1"/>
    <col min="40" max="41" width="12.26953125" bestFit="1" customWidth="1"/>
    <col min="42" max="42" width="13.453125" bestFit="1" customWidth="1"/>
    <col min="43" max="43" width="12.453125" bestFit="1" customWidth="1"/>
    <col min="44" max="44" width="17.1796875" bestFit="1" customWidth="1"/>
    <col min="45" max="45" width="13.81640625" bestFit="1" customWidth="1"/>
    <col min="46" max="46" width="16.453125" bestFit="1" customWidth="1"/>
    <col min="47" max="47" width="9.81640625" bestFit="1" customWidth="1"/>
    <col min="48" max="48" width="11.1796875" bestFit="1" customWidth="1"/>
    <col min="49" max="50" width="10.453125" bestFit="1" customWidth="1"/>
    <col min="51" max="51" width="13.1796875" bestFit="1" customWidth="1"/>
    <col min="52" max="52" width="13.7265625" bestFit="1" customWidth="1"/>
    <col min="53" max="53" width="17.1796875" bestFit="1" customWidth="1"/>
    <col min="54" max="54" width="10.1796875" bestFit="1" customWidth="1"/>
    <col min="55" max="55" width="12.26953125" bestFit="1" customWidth="1"/>
    <col min="56" max="56" width="15.81640625" bestFit="1" customWidth="1"/>
    <col min="57" max="57" width="9.7265625" bestFit="1" customWidth="1"/>
  </cols>
  <sheetData>
    <row r="3" spans="1:6" x14ac:dyDescent="0.35">
      <c r="A3" t="s">
        <v>1999</v>
      </c>
      <c r="B3" t="s">
        <v>2000</v>
      </c>
    </row>
    <row r="4" spans="1:6" x14ac:dyDescent="0.35">
      <c r="A4">
        <v>58</v>
      </c>
      <c r="B4">
        <v>55</v>
      </c>
    </row>
    <row r="5" spans="1:6" ht="14.5" customHeight="1" x14ac:dyDescent="0.35">
      <c r="B5" s="52" t="s">
        <v>2001</v>
      </c>
      <c r="C5" s="52"/>
      <c r="E5" s="52" t="s">
        <v>2002</v>
      </c>
      <c r="F5" s="52"/>
    </row>
    <row r="6" spans="1:6" x14ac:dyDescent="0.35">
      <c r="B6" s="19" t="s">
        <v>2003</v>
      </c>
      <c r="C6" s="19" t="s">
        <v>2004</v>
      </c>
      <c r="E6" s="19" t="s">
        <v>2003</v>
      </c>
      <c r="F6" s="19" t="s">
        <v>2004</v>
      </c>
    </row>
    <row r="7" spans="1:6" x14ac:dyDescent="0.35">
      <c r="B7" s="19">
        <v>103</v>
      </c>
      <c r="C7" s="19">
        <v>181</v>
      </c>
      <c r="E7" s="22">
        <v>36</v>
      </c>
      <c r="F7" s="19">
        <v>82</v>
      </c>
    </row>
    <row r="8" spans="1:6" x14ac:dyDescent="0.35">
      <c r="B8" s="19" t="s">
        <v>2005</v>
      </c>
      <c r="C8" s="20">
        <f>B7/C7</f>
        <v>0.56906077348066297</v>
      </c>
      <c r="E8" s="19" t="s">
        <v>2005</v>
      </c>
      <c r="F8" s="21">
        <f>E7/F7</f>
        <v>0.43902439024390244</v>
      </c>
    </row>
    <row r="11" spans="1:6" x14ac:dyDescent="0.35">
      <c r="A11" s="11" t="s">
        <v>2006</v>
      </c>
      <c r="B11" s="51" t="s">
        <v>2007</v>
      </c>
      <c r="C11" s="51"/>
    </row>
    <row r="12" spans="1:6" x14ac:dyDescent="0.35">
      <c r="A12" s="11" t="s">
        <v>2008</v>
      </c>
      <c r="B12" s="51" t="s">
        <v>2009</v>
      </c>
      <c r="C12" s="51"/>
    </row>
  </sheetData>
  <mergeCells count="4">
    <mergeCell ref="B11:C11"/>
    <mergeCell ref="B12:C12"/>
    <mergeCell ref="B5:C5"/>
    <mergeCell ref="E5:F5"/>
  </mergeCells>
  <phoneticPr fontId="4" type="noConversion"/>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6B4B-D98C-444F-9FB3-8AA201534DF2}">
  <sheetPr codeName="Planilha7"/>
  <dimension ref="A1:F25"/>
  <sheetViews>
    <sheetView topLeftCell="A44" workbookViewId="0">
      <selection activeCell="M26" sqref="M26"/>
    </sheetView>
  </sheetViews>
  <sheetFormatPr defaultRowHeight="14.5" x14ac:dyDescent="0.35"/>
  <cols>
    <col min="1" max="1" width="24.81640625" bestFit="1" customWidth="1"/>
    <col min="2" max="2" width="19.453125" bestFit="1" customWidth="1"/>
    <col min="3" max="3" width="13.453125" bestFit="1" customWidth="1"/>
    <col min="4" max="4" width="8.1796875" bestFit="1" customWidth="1"/>
    <col min="5" max="5" width="9.26953125" bestFit="1" customWidth="1"/>
    <col min="6" max="6" width="10.1796875" bestFit="1" customWidth="1"/>
    <col min="7" max="7" width="10.7265625" bestFit="1" customWidth="1"/>
    <col min="8" max="8" width="9.7265625" bestFit="1" customWidth="1"/>
    <col min="10" max="10" width="17.26953125" bestFit="1" customWidth="1"/>
    <col min="11" max="11" width="11.81640625" bestFit="1" customWidth="1"/>
    <col min="12" max="12" width="11" bestFit="1" customWidth="1"/>
    <col min="13" max="13" width="11" customWidth="1"/>
  </cols>
  <sheetData>
    <row r="1" spans="1:6" x14ac:dyDescent="0.35">
      <c r="A1" s="2" t="s">
        <v>1991</v>
      </c>
      <c r="B1" t="s">
        <v>1992</v>
      </c>
    </row>
    <row r="3" spans="1:6" x14ac:dyDescent="0.35">
      <c r="A3" s="2" t="s">
        <v>2010</v>
      </c>
      <c r="B3" s="2" t="s">
        <v>1993</v>
      </c>
    </row>
    <row r="4" spans="1:6" x14ac:dyDescent="0.35">
      <c r="A4" s="2" t="s">
        <v>2011</v>
      </c>
      <c r="B4" t="s">
        <v>2012</v>
      </c>
      <c r="C4" t="s">
        <v>2013</v>
      </c>
      <c r="D4" t="s">
        <v>2014</v>
      </c>
      <c r="E4" t="s">
        <v>2015</v>
      </c>
      <c r="F4" t="s">
        <v>1996</v>
      </c>
    </row>
    <row r="5" spans="1:6" x14ac:dyDescent="0.35">
      <c r="A5" s="3" t="s">
        <v>18</v>
      </c>
      <c r="B5">
        <v>3</v>
      </c>
      <c r="C5">
        <v>10</v>
      </c>
      <c r="D5">
        <v>1</v>
      </c>
      <c r="E5">
        <v>6</v>
      </c>
      <c r="F5">
        <v>20</v>
      </c>
    </row>
    <row r="6" spans="1:6" x14ac:dyDescent="0.35">
      <c r="A6" s="3" t="s">
        <v>213</v>
      </c>
      <c r="D6">
        <v>1</v>
      </c>
      <c r="F6">
        <v>1</v>
      </c>
    </row>
    <row r="7" spans="1:6" x14ac:dyDescent="0.35">
      <c r="A7" s="3" t="s">
        <v>894</v>
      </c>
      <c r="E7">
        <v>1</v>
      </c>
      <c r="F7">
        <v>1</v>
      </c>
    </row>
    <row r="8" spans="1:6" x14ac:dyDescent="0.35">
      <c r="A8" s="3" t="s">
        <v>61</v>
      </c>
      <c r="B8">
        <v>8</v>
      </c>
      <c r="C8">
        <v>15</v>
      </c>
      <c r="D8">
        <v>1</v>
      </c>
      <c r="E8">
        <v>14</v>
      </c>
      <c r="F8">
        <v>38</v>
      </c>
    </row>
    <row r="9" spans="1:6" x14ac:dyDescent="0.35">
      <c r="A9" s="3" t="s">
        <v>30</v>
      </c>
      <c r="B9">
        <v>5</v>
      </c>
      <c r="C9">
        <v>7</v>
      </c>
      <c r="D9">
        <v>2</v>
      </c>
      <c r="E9">
        <v>10</v>
      </c>
      <c r="F9">
        <v>24</v>
      </c>
    </row>
    <row r="10" spans="1:6" x14ac:dyDescent="0.35">
      <c r="A10" s="3" t="s">
        <v>124</v>
      </c>
      <c r="B10">
        <v>1</v>
      </c>
      <c r="C10">
        <v>1</v>
      </c>
      <c r="E10">
        <v>1</v>
      </c>
      <c r="F10">
        <v>3</v>
      </c>
    </row>
    <row r="11" spans="1:6" x14ac:dyDescent="0.35">
      <c r="A11" s="3" t="s">
        <v>54</v>
      </c>
      <c r="B11">
        <v>3</v>
      </c>
      <c r="C11">
        <v>7</v>
      </c>
      <c r="E11">
        <v>5</v>
      </c>
      <c r="F11">
        <v>15</v>
      </c>
    </row>
    <row r="12" spans="1:6" x14ac:dyDescent="0.35">
      <c r="A12" s="3" t="s">
        <v>24</v>
      </c>
      <c r="B12">
        <v>9</v>
      </c>
      <c r="C12">
        <v>11</v>
      </c>
      <c r="D12">
        <v>1</v>
      </c>
      <c r="E12">
        <v>6</v>
      </c>
      <c r="F12">
        <v>27</v>
      </c>
    </row>
    <row r="13" spans="1:6" x14ac:dyDescent="0.35">
      <c r="A13" s="3" t="s">
        <v>602</v>
      </c>
      <c r="C13">
        <v>2</v>
      </c>
      <c r="E13">
        <v>1</v>
      </c>
      <c r="F13">
        <v>3</v>
      </c>
    </row>
    <row r="14" spans="1:6" x14ac:dyDescent="0.35">
      <c r="A14" s="3" t="s">
        <v>1958</v>
      </c>
      <c r="E14">
        <v>2</v>
      </c>
      <c r="F14">
        <v>2</v>
      </c>
    </row>
    <row r="15" spans="1:6" x14ac:dyDescent="0.35">
      <c r="A15" s="3" t="s">
        <v>1996</v>
      </c>
      <c r="B15">
        <v>29</v>
      </c>
      <c r="C15">
        <v>53</v>
      </c>
      <c r="D15">
        <v>6</v>
      </c>
      <c r="E15">
        <v>46</v>
      </c>
      <c r="F15">
        <v>134</v>
      </c>
    </row>
    <row r="17" spans="1:4" x14ac:dyDescent="0.35">
      <c r="A17" s="18" t="s">
        <v>2011</v>
      </c>
      <c r="B17" s="18" t="s">
        <v>2012</v>
      </c>
      <c r="C17" s="18" t="s">
        <v>2013</v>
      </c>
      <c r="D17" s="18" t="s">
        <v>2015</v>
      </c>
    </row>
    <row r="18" spans="1:4" x14ac:dyDescent="0.35">
      <c r="A18" s="3" t="s">
        <v>18</v>
      </c>
      <c r="B18">
        <v>3</v>
      </c>
      <c r="C18">
        <v>8</v>
      </c>
      <c r="D18">
        <v>7</v>
      </c>
    </row>
    <row r="19" spans="1:4" x14ac:dyDescent="0.35">
      <c r="A19" s="3" t="s">
        <v>894</v>
      </c>
      <c r="D19">
        <v>2</v>
      </c>
    </row>
    <row r="20" spans="1:4" x14ac:dyDescent="0.35">
      <c r="A20" s="3" t="s">
        <v>61</v>
      </c>
      <c r="B20">
        <v>4</v>
      </c>
      <c r="C20">
        <v>10</v>
      </c>
      <c r="D20">
        <v>7</v>
      </c>
    </row>
    <row r="21" spans="1:4" x14ac:dyDescent="0.35">
      <c r="A21" s="3" t="s">
        <v>30</v>
      </c>
      <c r="B21">
        <v>5</v>
      </c>
      <c r="C21">
        <v>7</v>
      </c>
      <c r="D21">
        <v>10</v>
      </c>
    </row>
    <row r="22" spans="1:4" x14ac:dyDescent="0.35">
      <c r="A22" s="3" t="s">
        <v>124</v>
      </c>
      <c r="B22">
        <v>1</v>
      </c>
      <c r="C22">
        <v>1</v>
      </c>
      <c r="D22">
        <v>1</v>
      </c>
    </row>
    <row r="23" spans="1:4" x14ac:dyDescent="0.35">
      <c r="A23" s="3" t="s">
        <v>54</v>
      </c>
      <c r="B23">
        <v>2</v>
      </c>
      <c r="C23">
        <v>8</v>
      </c>
      <c r="D23">
        <v>4</v>
      </c>
    </row>
    <row r="24" spans="1:4" x14ac:dyDescent="0.35">
      <c r="A24" s="3" t="s">
        <v>24</v>
      </c>
      <c r="B24">
        <v>8</v>
      </c>
      <c r="C24">
        <v>10</v>
      </c>
      <c r="D24">
        <v>4</v>
      </c>
    </row>
    <row r="25" spans="1:4" x14ac:dyDescent="0.35">
      <c r="A25" s="3" t="s">
        <v>602</v>
      </c>
      <c r="C25">
        <v>2</v>
      </c>
      <c r="D25">
        <v>1</v>
      </c>
    </row>
  </sheetData>
  <pageMargins left="0.511811024" right="0.511811024" top="0.78740157499999996" bottom="0.78740157499999996" header="0.31496062000000002" footer="0.31496062000000002"/>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220EB-0B8F-4A40-8C58-BD24701C4199}">
  <sheetPr codeName="Planilha5"/>
  <dimension ref="A2:I70"/>
  <sheetViews>
    <sheetView zoomScale="70" zoomScaleNormal="70" workbookViewId="0">
      <selection activeCell="C26" sqref="C26"/>
    </sheetView>
  </sheetViews>
  <sheetFormatPr defaultRowHeight="14.5" x14ac:dyDescent="0.35"/>
  <cols>
    <col min="1" max="1" width="24.453125" bestFit="1" customWidth="1"/>
    <col min="2" max="2" width="17.7265625" bestFit="1" customWidth="1"/>
    <col min="3" max="3" width="36.1796875" customWidth="1"/>
    <col min="4" max="4" width="25.453125" customWidth="1"/>
    <col min="5" max="5" width="52.453125" bestFit="1" customWidth="1"/>
    <col min="7" max="7" width="17.81640625" bestFit="1" customWidth="1"/>
    <col min="8" max="8" width="17.1796875" bestFit="1" customWidth="1"/>
    <col min="9" max="9" width="40.7265625" bestFit="1" customWidth="1"/>
  </cols>
  <sheetData>
    <row r="2" spans="1:9" x14ac:dyDescent="0.35">
      <c r="A2" s="2" t="s">
        <v>6</v>
      </c>
      <c r="B2" t="s">
        <v>2016</v>
      </c>
      <c r="D2" s="4" t="s">
        <v>2017</v>
      </c>
      <c r="E2" s="4" t="s">
        <v>2018</v>
      </c>
      <c r="F2" s="4" t="s">
        <v>2019</v>
      </c>
      <c r="G2" s="4" t="s">
        <v>2020</v>
      </c>
      <c r="H2" s="9" t="s">
        <v>2021</v>
      </c>
    </row>
    <row r="3" spans="1:9" x14ac:dyDescent="0.35">
      <c r="C3" s="17" t="s">
        <v>2022</v>
      </c>
      <c r="D3" s="4">
        <v>56</v>
      </c>
      <c r="E3" s="4">
        <f>F3-D3</f>
        <v>66</v>
      </c>
      <c r="F3" s="4">
        <v>122</v>
      </c>
      <c r="G3" s="4">
        <v>136</v>
      </c>
      <c r="H3" s="10">
        <f>G3/F3</f>
        <v>1.1147540983606556</v>
      </c>
    </row>
    <row r="4" spans="1:9" x14ac:dyDescent="0.35">
      <c r="A4" s="2" t="s">
        <v>2011</v>
      </c>
      <c r="B4" t="s">
        <v>2023</v>
      </c>
      <c r="C4" s="15" t="s">
        <v>2024</v>
      </c>
    </row>
    <row r="5" spans="1:9" x14ac:dyDescent="0.35">
      <c r="A5" s="3" t="s">
        <v>81</v>
      </c>
      <c r="B5">
        <v>1</v>
      </c>
      <c r="C5" s="16" t="s">
        <v>2025</v>
      </c>
    </row>
    <row r="6" spans="1:9" x14ac:dyDescent="0.35">
      <c r="A6" s="3" t="s">
        <v>108</v>
      </c>
      <c r="B6">
        <v>9</v>
      </c>
      <c r="C6" s="15" t="s">
        <v>2026</v>
      </c>
    </row>
    <row r="7" spans="1:9" x14ac:dyDescent="0.35">
      <c r="A7" s="3" t="s">
        <v>78</v>
      </c>
      <c r="B7">
        <v>1</v>
      </c>
      <c r="C7" s="15" t="s">
        <v>2027</v>
      </c>
    </row>
    <row r="8" spans="1:9" x14ac:dyDescent="0.35">
      <c r="A8" s="3" t="s">
        <v>97</v>
      </c>
      <c r="B8">
        <v>1</v>
      </c>
      <c r="C8" s="16" t="s">
        <v>2028</v>
      </c>
    </row>
    <row r="9" spans="1:9" x14ac:dyDescent="0.35">
      <c r="A9" s="3" t="s">
        <v>53</v>
      </c>
      <c r="B9">
        <v>5</v>
      </c>
      <c r="C9" s="16" t="s">
        <v>612</v>
      </c>
    </row>
    <row r="10" spans="1:9" x14ac:dyDescent="0.35">
      <c r="A10" s="3" t="s">
        <v>105</v>
      </c>
      <c r="B10">
        <v>4</v>
      </c>
      <c r="C10" s="15" t="s">
        <v>622</v>
      </c>
    </row>
    <row r="11" spans="1:9" x14ac:dyDescent="0.35">
      <c r="A11" s="3" t="s">
        <v>287</v>
      </c>
      <c r="B11">
        <v>1</v>
      </c>
      <c r="C11" s="15" t="s">
        <v>1646</v>
      </c>
    </row>
    <row r="12" spans="1:9" x14ac:dyDescent="0.35">
      <c r="A12" s="3" t="s">
        <v>1756</v>
      </c>
      <c r="B12">
        <v>1</v>
      </c>
      <c r="C12" s="15" t="s">
        <v>2029</v>
      </c>
    </row>
    <row r="13" spans="1:9" x14ac:dyDescent="0.35">
      <c r="A13" s="3" t="s">
        <v>102</v>
      </c>
      <c r="B13">
        <v>3</v>
      </c>
      <c r="C13" s="15" t="s">
        <v>2030</v>
      </c>
    </row>
    <row r="14" spans="1:9" x14ac:dyDescent="0.35">
      <c r="A14" s="3" t="s">
        <v>299</v>
      </c>
      <c r="B14">
        <v>3</v>
      </c>
      <c r="C14" s="15" t="s">
        <v>2031</v>
      </c>
    </row>
    <row r="15" spans="1:9" x14ac:dyDescent="0.35">
      <c r="A15" s="3" t="s">
        <v>562</v>
      </c>
      <c r="B15">
        <v>8</v>
      </c>
      <c r="C15" s="15" t="s">
        <v>571</v>
      </c>
    </row>
    <row r="16" spans="1:9" x14ac:dyDescent="0.35">
      <c r="A16" s="3" t="s">
        <v>23</v>
      </c>
      <c r="B16">
        <v>7</v>
      </c>
      <c r="C16" s="16" t="s">
        <v>427</v>
      </c>
      <c r="H16" t="s">
        <v>2032</v>
      </c>
      <c r="I16" s="7" t="s">
        <v>2033</v>
      </c>
    </row>
    <row r="17" spans="1:5" x14ac:dyDescent="0.35">
      <c r="A17" s="3" t="s">
        <v>252</v>
      </c>
      <c r="B17">
        <v>6</v>
      </c>
      <c r="C17" s="15" t="s">
        <v>2034</v>
      </c>
    </row>
    <row r="18" spans="1:5" x14ac:dyDescent="0.35">
      <c r="A18" s="3" t="s">
        <v>140</v>
      </c>
      <c r="B18">
        <v>1</v>
      </c>
      <c r="C18" s="15" t="s">
        <v>2035</v>
      </c>
    </row>
    <row r="19" spans="1:5" x14ac:dyDescent="0.35">
      <c r="A19" s="3" t="s">
        <v>688</v>
      </c>
      <c r="B19">
        <v>1</v>
      </c>
      <c r="C19" s="15" t="s">
        <v>2036</v>
      </c>
    </row>
    <row r="20" spans="1:5" x14ac:dyDescent="0.35">
      <c r="A20" s="3" t="s">
        <v>260</v>
      </c>
      <c r="B20">
        <v>3</v>
      </c>
      <c r="C20" s="16" t="s">
        <v>2037</v>
      </c>
    </row>
    <row r="21" spans="1:5" x14ac:dyDescent="0.35">
      <c r="A21" s="3" t="s">
        <v>438</v>
      </c>
      <c r="B21">
        <v>2</v>
      </c>
      <c r="C21" s="15" t="s">
        <v>2038</v>
      </c>
      <c r="D21" s="7" t="s">
        <v>2039</v>
      </c>
      <c r="E21" s="7" t="s">
        <v>2040</v>
      </c>
    </row>
    <row r="22" spans="1:5" x14ac:dyDescent="0.35">
      <c r="A22" s="3" t="s">
        <v>277</v>
      </c>
      <c r="B22">
        <v>1</v>
      </c>
      <c r="C22" s="15" t="s">
        <v>916</v>
      </c>
      <c r="D22" s="7" t="s">
        <v>2032</v>
      </c>
      <c r="E22" s="7" t="s">
        <v>2041</v>
      </c>
    </row>
    <row r="23" spans="1:5" x14ac:dyDescent="0.35">
      <c r="A23" s="3" t="s">
        <v>120</v>
      </c>
      <c r="B23">
        <v>2</v>
      </c>
      <c r="C23" s="15" t="s">
        <v>2042</v>
      </c>
    </row>
    <row r="24" spans="1:5" x14ac:dyDescent="0.35">
      <c r="A24" s="3" t="s">
        <v>109</v>
      </c>
      <c r="B24">
        <v>1</v>
      </c>
      <c r="C24" s="15" t="s">
        <v>150</v>
      </c>
    </row>
    <row r="25" spans="1:5" x14ac:dyDescent="0.35">
      <c r="A25" s="3" t="s">
        <v>127</v>
      </c>
      <c r="B25">
        <v>3</v>
      </c>
      <c r="C25" s="16" t="s">
        <v>2043</v>
      </c>
    </row>
    <row r="26" spans="1:5" x14ac:dyDescent="0.35">
      <c r="A26" s="3" t="s">
        <v>90</v>
      </c>
      <c r="B26">
        <v>5</v>
      </c>
      <c r="C26" s="15" t="s">
        <v>337</v>
      </c>
    </row>
    <row r="27" spans="1:5" x14ac:dyDescent="0.35">
      <c r="A27" s="3" t="s">
        <v>222</v>
      </c>
      <c r="B27">
        <v>1</v>
      </c>
      <c r="C27" s="15" t="s">
        <v>2044</v>
      </c>
    </row>
    <row r="28" spans="1:5" x14ac:dyDescent="0.35">
      <c r="A28" s="3" t="s">
        <v>145</v>
      </c>
      <c r="B28">
        <v>3</v>
      </c>
      <c r="C28" s="15" t="s">
        <v>243</v>
      </c>
    </row>
    <row r="29" spans="1:5" x14ac:dyDescent="0.35">
      <c r="A29" s="3" t="s">
        <v>256</v>
      </c>
      <c r="B29">
        <v>3</v>
      </c>
      <c r="C29" s="15" t="s">
        <v>2045</v>
      </c>
    </row>
    <row r="30" spans="1:5" x14ac:dyDescent="0.35">
      <c r="A30" s="3" t="s">
        <v>46</v>
      </c>
      <c r="B30">
        <v>5</v>
      </c>
      <c r="C30" s="15" t="s">
        <v>2046</v>
      </c>
    </row>
    <row r="31" spans="1:5" x14ac:dyDescent="0.35">
      <c r="A31" s="3" t="s">
        <v>498</v>
      </c>
      <c r="B31">
        <v>4</v>
      </c>
      <c r="C31" s="15" t="s">
        <v>2047</v>
      </c>
    </row>
    <row r="32" spans="1:5" x14ac:dyDescent="0.35">
      <c r="A32" s="3" t="s">
        <v>57</v>
      </c>
      <c r="B32">
        <v>1</v>
      </c>
      <c r="C32" s="15" t="s">
        <v>2048</v>
      </c>
    </row>
    <row r="33" spans="1:3" x14ac:dyDescent="0.35">
      <c r="A33" s="3" t="s">
        <v>77</v>
      </c>
      <c r="B33">
        <v>4</v>
      </c>
      <c r="C33" s="15" t="s">
        <v>2049</v>
      </c>
    </row>
    <row r="34" spans="1:3" x14ac:dyDescent="0.35">
      <c r="A34" s="3" t="s">
        <v>151</v>
      </c>
      <c r="B34">
        <v>3</v>
      </c>
      <c r="C34" s="16" t="s">
        <v>247</v>
      </c>
    </row>
    <row r="35" spans="1:3" x14ac:dyDescent="0.35">
      <c r="A35" s="3" t="s">
        <v>193</v>
      </c>
      <c r="B35">
        <v>2</v>
      </c>
      <c r="C35" s="16" t="s">
        <v>2050</v>
      </c>
    </row>
    <row r="36" spans="1:3" x14ac:dyDescent="0.35">
      <c r="A36" s="3" t="s">
        <v>445</v>
      </c>
      <c r="B36">
        <v>1</v>
      </c>
      <c r="C36" s="15" t="s">
        <v>355</v>
      </c>
    </row>
    <row r="37" spans="1:3" x14ac:dyDescent="0.35">
      <c r="A37" s="3" t="s">
        <v>117</v>
      </c>
      <c r="B37">
        <v>8</v>
      </c>
      <c r="C37" s="16" t="s">
        <v>903</v>
      </c>
    </row>
    <row r="38" spans="1:3" x14ac:dyDescent="0.35">
      <c r="A38" s="3" t="s">
        <v>1189</v>
      </c>
      <c r="B38">
        <v>3</v>
      </c>
      <c r="C38" s="16" t="s">
        <v>2051</v>
      </c>
    </row>
    <row r="39" spans="1:3" x14ac:dyDescent="0.35">
      <c r="A39" s="3" t="s">
        <v>85</v>
      </c>
      <c r="B39">
        <v>25</v>
      </c>
      <c r="C39" s="15" t="s">
        <v>2052</v>
      </c>
    </row>
    <row r="40" spans="1:3" x14ac:dyDescent="0.35">
      <c r="A40" s="3" t="s">
        <v>336</v>
      </c>
      <c r="B40">
        <v>3</v>
      </c>
      <c r="C40" s="16" t="s">
        <v>2053</v>
      </c>
    </row>
    <row r="41" spans="1:3" x14ac:dyDescent="0.35">
      <c r="A41" s="3" t="s">
        <v>483</v>
      </c>
      <c r="B41">
        <v>1</v>
      </c>
      <c r="C41" s="15" t="s">
        <v>1977</v>
      </c>
    </row>
    <row r="42" spans="1:3" x14ac:dyDescent="0.35">
      <c r="A42" s="3" t="s">
        <v>64</v>
      </c>
      <c r="B42">
        <v>5</v>
      </c>
      <c r="C42" s="16" t="s">
        <v>2054</v>
      </c>
    </row>
    <row r="43" spans="1:3" x14ac:dyDescent="0.35">
      <c r="A43" s="3" t="s">
        <v>1432</v>
      </c>
      <c r="B43">
        <v>1</v>
      </c>
      <c r="C43" s="15" t="s">
        <v>684</v>
      </c>
    </row>
    <row r="44" spans="1:3" x14ac:dyDescent="0.35">
      <c r="A44" s="3" t="s">
        <v>1436</v>
      </c>
      <c r="B44">
        <v>2</v>
      </c>
      <c r="C44" s="15" t="s">
        <v>2055</v>
      </c>
    </row>
    <row r="45" spans="1:3" x14ac:dyDescent="0.35">
      <c r="A45" s="3" t="s">
        <v>1525</v>
      </c>
      <c r="B45">
        <v>1</v>
      </c>
      <c r="C45" s="15" t="s">
        <v>2056</v>
      </c>
    </row>
    <row r="46" spans="1:3" x14ac:dyDescent="0.35">
      <c r="A46" s="3" t="s">
        <v>69</v>
      </c>
      <c r="B46">
        <v>1</v>
      </c>
      <c r="C46" s="15" t="s">
        <v>2057</v>
      </c>
    </row>
    <row r="47" spans="1:3" x14ac:dyDescent="0.35">
      <c r="A47" s="3" t="s">
        <v>1535</v>
      </c>
      <c r="B47">
        <v>4</v>
      </c>
      <c r="C47" s="16" t="s">
        <v>2058</v>
      </c>
    </row>
    <row r="48" spans="1:3" x14ac:dyDescent="0.35">
      <c r="A48" s="3" t="s">
        <v>1616</v>
      </c>
      <c r="B48">
        <v>2</v>
      </c>
      <c r="C48" s="15" t="s">
        <v>2059</v>
      </c>
    </row>
    <row r="49" spans="1:3" x14ac:dyDescent="0.35">
      <c r="A49" s="3" t="s">
        <v>1620</v>
      </c>
      <c r="B49">
        <v>4</v>
      </c>
      <c r="C49" s="15" t="s">
        <v>2060</v>
      </c>
    </row>
    <row r="50" spans="1:3" x14ac:dyDescent="0.35">
      <c r="A50" s="3" t="s">
        <v>1642</v>
      </c>
      <c r="B50">
        <v>1</v>
      </c>
      <c r="C50" s="15" t="s">
        <v>674</v>
      </c>
    </row>
    <row r="51" spans="1:3" x14ac:dyDescent="0.35">
      <c r="A51" s="3" t="s">
        <v>1651</v>
      </c>
      <c r="B51">
        <v>2</v>
      </c>
      <c r="C51" s="15" t="s">
        <v>2061</v>
      </c>
    </row>
    <row r="52" spans="1:3" x14ac:dyDescent="0.35">
      <c r="A52" s="3" t="s">
        <v>1600</v>
      </c>
      <c r="B52">
        <v>1</v>
      </c>
      <c r="C52" s="15" t="s">
        <v>2062</v>
      </c>
    </row>
    <row r="53" spans="1:3" x14ac:dyDescent="0.35">
      <c r="A53" s="3" t="s">
        <v>1688</v>
      </c>
      <c r="B53">
        <v>1</v>
      </c>
      <c r="C53" s="15" t="s">
        <v>2063</v>
      </c>
    </row>
    <row r="54" spans="1:3" x14ac:dyDescent="0.35">
      <c r="A54" s="3" t="s">
        <v>294</v>
      </c>
      <c r="B54">
        <v>4</v>
      </c>
      <c r="C54" s="16" t="s">
        <v>2064</v>
      </c>
    </row>
    <row r="55" spans="1:3" x14ac:dyDescent="0.35">
      <c r="A55" s="3" t="s">
        <v>1707</v>
      </c>
      <c r="B55">
        <v>7</v>
      </c>
      <c r="C55" s="15" t="s">
        <v>2065</v>
      </c>
    </row>
    <row r="56" spans="1:3" x14ac:dyDescent="0.35">
      <c r="A56" s="3" t="s">
        <v>1719</v>
      </c>
      <c r="B56">
        <v>4</v>
      </c>
      <c r="C56" s="15" t="s">
        <v>58</v>
      </c>
    </row>
    <row r="57" spans="1:3" x14ac:dyDescent="0.35">
      <c r="A57" s="3" t="s">
        <v>123</v>
      </c>
      <c r="B57">
        <v>2</v>
      </c>
      <c r="C57" s="15" t="s">
        <v>980</v>
      </c>
    </row>
    <row r="58" spans="1:3" x14ac:dyDescent="0.35">
      <c r="A58" s="3" t="s">
        <v>1770</v>
      </c>
      <c r="B58">
        <v>1</v>
      </c>
      <c r="C58" s="15" t="s">
        <v>391</v>
      </c>
    </row>
    <row r="59" spans="1:3" x14ac:dyDescent="0.35">
      <c r="A59" s="3" t="s">
        <v>82</v>
      </c>
      <c r="B59">
        <v>1</v>
      </c>
      <c r="C59" s="15" t="s">
        <v>99</v>
      </c>
    </row>
    <row r="60" spans="1:3" x14ac:dyDescent="0.35">
      <c r="A60" s="3" t="s">
        <v>637</v>
      </c>
      <c r="B60">
        <v>3</v>
      </c>
      <c r="C60" s="15" t="s">
        <v>161</v>
      </c>
    </row>
    <row r="61" spans="1:3" x14ac:dyDescent="0.35">
      <c r="A61" s="3" t="s">
        <v>1977</v>
      </c>
      <c r="B61">
        <v>1</v>
      </c>
      <c r="C61" s="15" t="s">
        <v>2066</v>
      </c>
    </row>
    <row r="62" spans="1:3" x14ac:dyDescent="0.35">
      <c r="A62" s="3" t="s">
        <v>1996</v>
      </c>
      <c r="B62">
        <v>184</v>
      </c>
      <c r="C62" s="15" t="s">
        <v>74</v>
      </c>
    </row>
    <row r="63" spans="1:3" x14ac:dyDescent="0.35">
      <c r="C63" s="15" t="s">
        <v>420</v>
      </c>
    </row>
    <row r="64" spans="1:3" x14ac:dyDescent="0.35">
      <c r="C64" s="15" t="s">
        <v>1425</v>
      </c>
    </row>
    <row r="65" spans="3:3" x14ac:dyDescent="0.35">
      <c r="C65" s="15" t="s">
        <v>2067</v>
      </c>
    </row>
    <row r="66" spans="3:3" x14ac:dyDescent="0.35">
      <c r="C66" s="15" t="s">
        <v>2068</v>
      </c>
    </row>
    <row r="67" spans="3:3" x14ac:dyDescent="0.35">
      <c r="C67" s="15" t="s">
        <v>2069</v>
      </c>
    </row>
    <row r="68" spans="3:3" x14ac:dyDescent="0.35">
      <c r="C68" s="15" t="s">
        <v>40</v>
      </c>
    </row>
    <row r="69" spans="3:3" x14ac:dyDescent="0.35">
      <c r="C69" s="15" t="s">
        <v>637</v>
      </c>
    </row>
    <row r="70" spans="3:3" x14ac:dyDescent="0.35">
      <c r="C70" s="15" t="s">
        <v>197</v>
      </c>
    </row>
  </sheetData>
  <autoFilter ref="A1:I69" xr:uid="{343220EB-0B8F-4A40-8C58-BD24701C4199}"/>
  <sortState xmlns:xlrd2="http://schemas.microsoft.com/office/spreadsheetml/2017/richdata2" ref="C4:C55">
    <sortCondition ref="C4:C55"/>
  </sortState>
  <conditionalFormatting sqref="C76:C1048576 C1:C70">
    <cfRule type="duplicateValues" dxfId="2" priority="136"/>
  </conditionalFormatting>
  <pageMargins left="0.511811024" right="0.511811024" top="0.78740157499999996" bottom="0.78740157499999996" header="0.31496062000000002" footer="0.31496062000000002"/>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71A03-C4B9-4CD5-8D73-43EA93101C46}">
  <sheetPr codeName="Planilha6"/>
  <dimension ref="A1:M36"/>
  <sheetViews>
    <sheetView zoomScale="70" zoomScaleNormal="70" workbookViewId="0">
      <selection activeCell="W14" sqref="W14"/>
    </sheetView>
  </sheetViews>
  <sheetFormatPr defaultRowHeight="14.5" x14ac:dyDescent="0.35"/>
  <cols>
    <col min="1" max="1" width="42" bestFit="1" customWidth="1"/>
    <col min="2" max="2" width="35.1796875" bestFit="1" customWidth="1"/>
    <col min="12" max="12" width="36.54296875" bestFit="1" customWidth="1"/>
    <col min="13" max="13" width="8.81640625" customWidth="1"/>
  </cols>
  <sheetData>
    <row r="1" spans="1:13" x14ac:dyDescent="0.35">
      <c r="A1" s="2" t="s">
        <v>1991</v>
      </c>
      <c r="B1" t="s">
        <v>1992</v>
      </c>
    </row>
    <row r="2" spans="1:13" x14ac:dyDescent="0.35">
      <c r="A2" s="2" t="s">
        <v>1989</v>
      </c>
      <c r="B2" t="s">
        <v>1990</v>
      </c>
      <c r="L2" s="3" t="s">
        <v>2070</v>
      </c>
      <c r="M2">
        <v>9</v>
      </c>
    </row>
    <row r="3" spans="1:13" x14ac:dyDescent="0.35">
      <c r="L3" s="3" t="s">
        <v>2071</v>
      </c>
      <c r="M3">
        <v>9</v>
      </c>
    </row>
    <row r="4" spans="1:13" x14ac:dyDescent="0.35">
      <c r="A4" s="2" t="s">
        <v>2011</v>
      </c>
      <c r="B4" t="s">
        <v>2072</v>
      </c>
      <c r="L4" s="3" t="s">
        <v>2073</v>
      </c>
      <c r="M4">
        <v>12</v>
      </c>
    </row>
    <row r="5" spans="1:13" x14ac:dyDescent="0.35">
      <c r="A5" s="3" t="s">
        <v>204</v>
      </c>
      <c r="B5">
        <v>9</v>
      </c>
      <c r="L5" s="3" t="s">
        <v>2074</v>
      </c>
      <c r="M5">
        <v>8</v>
      </c>
    </row>
    <row r="6" spans="1:13" x14ac:dyDescent="0.35">
      <c r="A6" s="3" t="s">
        <v>19</v>
      </c>
      <c r="B6">
        <v>19</v>
      </c>
      <c r="L6" s="3" t="s">
        <v>2075</v>
      </c>
      <c r="M6">
        <v>70</v>
      </c>
    </row>
    <row r="7" spans="1:13" x14ac:dyDescent="0.35">
      <c r="A7" s="3" t="s">
        <v>25</v>
      </c>
      <c r="B7">
        <v>28</v>
      </c>
      <c r="L7" s="3" t="s">
        <v>2076</v>
      </c>
      <c r="M7">
        <v>22</v>
      </c>
    </row>
    <row r="8" spans="1:13" x14ac:dyDescent="0.35">
      <c r="A8" s="3" t="s">
        <v>242</v>
      </c>
      <c r="B8">
        <v>5</v>
      </c>
      <c r="L8" s="3" t="s">
        <v>2077</v>
      </c>
      <c r="M8">
        <v>1</v>
      </c>
    </row>
    <row r="9" spans="1:13" x14ac:dyDescent="0.35">
      <c r="A9" s="3" t="s">
        <v>332</v>
      </c>
      <c r="B9">
        <v>9</v>
      </c>
      <c r="L9" s="3" t="s">
        <v>2078</v>
      </c>
      <c r="M9">
        <v>13</v>
      </c>
    </row>
    <row r="10" spans="1:13" x14ac:dyDescent="0.35">
      <c r="A10" s="3" t="s">
        <v>91</v>
      </c>
      <c r="B10">
        <v>9</v>
      </c>
    </row>
    <row r="11" spans="1:13" x14ac:dyDescent="0.35">
      <c r="A11" s="3" t="s">
        <v>1596</v>
      </c>
      <c r="B11">
        <v>2</v>
      </c>
    </row>
    <row r="12" spans="1:13" x14ac:dyDescent="0.35">
      <c r="A12" s="3" t="s">
        <v>31</v>
      </c>
      <c r="B12">
        <v>5</v>
      </c>
    </row>
    <row r="13" spans="1:13" x14ac:dyDescent="0.35">
      <c r="A13" s="3" t="s">
        <v>50</v>
      </c>
      <c r="B13">
        <v>27</v>
      </c>
    </row>
    <row r="14" spans="1:13" x14ac:dyDescent="0.35">
      <c r="A14" s="3" t="s">
        <v>174</v>
      </c>
      <c r="B14">
        <v>10</v>
      </c>
    </row>
    <row r="15" spans="1:13" x14ac:dyDescent="0.35">
      <c r="A15" s="3" t="s">
        <v>36</v>
      </c>
      <c r="B15">
        <v>8</v>
      </c>
      <c r="L15" s="3"/>
    </row>
    <row r="16" spans="1:13" x14ac:dyDescent="0.35">
      <c r="A16" s="3" t="s">
        <v>98</v>
      </c>
      <c r="B16">
        <v>18</v>
      </c>
      <c r="L16" s="3"/>
    </row>
    <row r="17" spans="1:13" x14ac:dyDescent="0.35">
      <c r="A17" s="3" t="s">
        <v>458</v>
      </c>
      <c r="B17">
        <v>1</v>
      </c>
      <c r="L17" s="3"/>
    </row>
    <row r="18" spans="1:13" x14ac:dyDescent="0.35">
      <c r="A18" s="3" t="s">
        <v>1715</v>
      </c>
      <c r="B18">
        <v>2</v>
      </c>
      <c r="L18" s="3"/>
    </row>
    <row r="19" spans="1:13" x14ac:dyDescent="0.35">
      <c r="A19" s="3" t="s">
        <v>227</v>
      </c>
      <c r="B19">
        <v>3</v>
      </c>
      <c r="L19" s="3"/>
    </row>
    <row r="20" spans="1:13" x14ac:dyDescent="0.35">
      <c r="A20" s="3" t="s">
        <v>1708</v>
      </c>
      <c r="B20">
        <v>7</v>
      </c>
      <c r="L20" s="3"/>
    </row>
    <row r="21" spans="1:13" x14ac:dyDescent="0.35">
      <c r="A21" s="3" t="s">
        <v>695</v>
      </c>
      <c r="B21">
        <v>2</v>
      </c>
      <c r="L21" s="3"/>
    </row>
    <row r="22" spans="1:13" x14ac:dyDescent="0.35">
      <c r="A22" s="3" t="s">
        <v>86</v>
      </c>
      <c r="B22">
        <v>13</v>
      </c>
      <c r="L22" s="3"/>
    </row>
    <row r="23" spans="1:13" x14ac:dyDescent="0.35">
      <c r="A23" s="3" t="s">
        <v>1589</v>
      </c>
      <c r="B23">
        <v>1</v>
      </c>
      <c r="L23" s="3"/>
    </row>
    <row r="24" spans="1:13" x14ac:dyDescent="0.35">
      <c r="A24" s="3" t="s">
        <v>1826</v>
      </c>
      <c r="B24">
        <v>1</v>
      </c>
      <c r="L24" s="3"/>
    </row>
    <row r="25" spans="1:13" x14ac:dyDescent="0.35">
      <c r="A25" s="3" t="s">
        <v>1829</v>
      </c>
      <c r="B25">
        <v>1</v>
      </c>
    </row>
    <row r="26" spans="1:13" x14ac:dyDescent="0.35">
      <c r="A26" s="3" t="s">
        <v>1851</v>
      </c>
      <c r="B26">
        <v>1</v>
      </c>
    </row>
    <row r="27" spans="1:13" x14ac:dyDescent="0.35">
      <c r="A27" s="3" t="s">
        <v>1855</v>
      </c>
      <c r="B27">
        <v>1</v>
      </c>
    </row>
    <row r="28" spans="1:13" x14ac:dyDescent="0.35">
      <c r="A28" s="3" t="s">
        <v>1883</v>
      </c>
      <c r="B28">
        <v>2</v>
      </c>
    </row>
    <row r="29" spans="1:13" x14ac:dyDescent="0.35">
      <c r="A29" s="3" t="s">
        <v>1996</v>
      </c>
      <c r="B29">
        <v>184</v>
      </c>
      <c r="L29" s="3" t="s">
        <v>2070</v>
      </c>
      <c r="M29">
        <v>21</v>
      </c>
    </row>
    <row r="30" spans="1:13" x14ac:dyDescent="0.35">
      <c r="L30" s="3" t="s">
        <v>2071</v>
      </c>
      <c r="M30">
        <v>27</v>
      </c>
    </row>
    <row r="31" spans="1:13" x14ac:dyDescent="0.35">
      <c r="L31" s="3" t="s">
        <v>2073</v>
      </c>
      <c r="M31">
        <v>28</v>
      </c>
    </row>
    <row r="32" spans="1:13" x14ac:dyDescent="0.35">
      <c r="L32" s="3" t="s">
        <v>2074</v>
      </c>
      <c r="M32">
        <v>21</v>
      </c>
    </row>
    <row r="33" spans="12:13" x14ac:dyDescent="0.35">
      <c r="L33" s="3" t="s">
        <v>2075</v>
      </c>
      <c r="M33">
        <v>174</v>
      </c>
    </row>
    <row r="34" spans="12:13" x14ac:dyDescent="0.35">
      <c r="L34" s="3" t="s">
        <v>2076</v>
      </c>
      <c r="M34">
        <v>28</v>
      </c>
    </row>
    <row r="35" spans="12:13" x14ac:dyDescent="0.35">
      <c r="L35" s="3" t="s">
        <v>2077</v>
      </c>
      <c r="M35">
        <v>10</v>
      </c>
    </row>
    <row r="36" spans="12:13" x14ac:dyDescent="0.35">
      <c r="L36" s="3" t="s">
        <v>2078</v>
      </c>
      <c r="M36">
        <v>16</v>
      </c>
    </row>
  </sheetData>
  <pageMargins left="0.511811024" right="0.511811024" top="0.78740157499999996" bottom="0.78740157499999996" header="0.31496062000000002" footer="0.31496062000000002"/>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002A-F4B1-4818-B0A2-9BD5422CC595}">
  <sheetPr codeName="Planilha8"/>
  <dimension ref="A1:H122"/>
  <sheetViews>
    <sheetView topLeftCell="A100" zoomScale="70" zoomScaleNormal="70" workbookViewId="0">
      <selection activeCell="B119" sqref="B119"/>
    </sheetView>
  </sheetViews>
  <sheetFormatPr defaultRowHeight="14.5" x14ac:dyDescent="0.35"/>
  <cols>
    <col min="1" max="1" width="43.54296875" bestFit="1" customWidth="1"/>
    <col min="2" max="2" width="28.54296875" bestFit="1" customWidth="1"/>
    <col min="3" max="3" width="12.81640625" bestFit="1" customWidth="1"/>
    <col min="4" max="4" width="47.26953125" bestFit="1" customWidth="1"/>
    <col min="5" max="5" width="43.453125" bestFit="1" customWidth="1"/>
    <col min="6" max="6" width="13.81640625" bestFit="1" customWidth="1"/>
    <col min="7" max="7" width="21.81640625" bestFit="1" customWidth="1"/>
    <col min="8" max="8" width="12.453125" bestFit="1" customWidth="1"/>
  </cols>
  <sheetData>
    <row r="1" spans="1:8" x14ac:dyDescent="0.35">
      <c r="A1" t="s">
        <v>2079</v>
      </c>
      <c r="B1" t="s">
        <v>2080</v>
      </c>
      <c r="C1" t="s">
        <v>2081</v>
      </c>
      <c r="D1" t="s">
        <v>2082</v>
      </c>
      <c r="E1" t="s">
        <v>2083</v>
      </c>
      <c r="F1" t="s">
        <v>2084</v>
      </c>
      <c r="G1" t="s">
        <v>2085</v>
      </c>
      <c r="H1" t="s">
        <v>2086</v>
      </c>
    </row>
    <row r="2" spans="1:8" x14ac:dyDescent="0.35">
      <c r="A2" t="s">
        <v>2087</v>
      </c>
      <c r="B2" t="s">
        <v>2088</v>
      </c>
      <c r="C2" t="s">
        <v>2089</v>
      </c>
      <c r="D2" t="s">
        <v>2090</v>
      </c>
      <c r="E2" t="s">
        <v>2091</v>
      </c>
      <c r="F2" t="s">
        <v>2092</v>
      </c>
      <c r="G2" t="s">
        <v>2093</v>
      </c>
      <c r="H2">
        <v>191</v>
      </c>
    </row>
    <row r="3" spans="1:8" x14ac:dyDescent="0.35">
      <c r="A3" t="s">
        <v>2094</v>
      </c>
      <c r="B3" t="s">
        <v>2095</v>
      </c>
      <c r="C3" t="s">
        <v>2096</v>
      </c>
      <c r="D3" t="s">
        <v>2097</v>
      </c>
      <c r="E3" t="s">
        <v>2098</v>
      </c>
      <c r="F3" t="s">
        <v>2092</v>
      </c>
      <c r="G3" t="s">
        <v>2099</v>
      </c>
      <c r="H3">
        <v>188</v>
      </c>
    </row>
    <row r="4" spans="1:8" x14ac:dyDescent="0.35">
      <c r="A4" t="s">
        <v>2100</v>
      </c>
      <c r="B4" t="s">
        <v>2101</v>
      </c>
      <c r="C4" t="s">
        <v>2102</v>
      </c>
      <c r="D4" t="s">
        <v>2103</v>
      </c>
      <c r="E4" t="s">
        <v>2104</v>
      </c>
      <c r="F4" t="s">
        <v>2092</v>
      </c>
      <c r="G4" t="s">
        <v>2105</v>
      </c>
      <c r="H4">
        <v>190</v>
      </c>
    </row>
    <row r="5" spans="1:8" x14ac:dyDescent="0.35">
      <c r="A5" t="s">
        <v>2106</v>
      </c>
      <c r="B5" t="s">
        <v>2095</v>
      </c>
      <c r="C5" t="s">
        <v>2096</v>
      </c>
      <c r="D5" t="s">
        <v>2097</v>
      </c>
      <c r="E5" t="s">
        <v>2107</v>
      </c>
      <c r="F5" t="s">
        <v>2092</v>
      </c>
      <c r="G5" t="s">
        <v>2099</v>
      </c>
      <c r="H5">
        <v>192</v>
      </c>
    </row>
    <row r="6" spans="1:8" x14ac:dyDescent="0.35">
      <c r="A6" t="s">
        <v>2108</v>
      </c>
      <c r="B6" t="s">
        <v>2109</v>
      </c>
      <c r="C6" t="s">
        <v>2089</v>
      </c>
      <c r="D6" t="s">
        <v>2097</v>
      </c>
      <c r="E6" t="s">
        <v>2098</v>
      </c>
      <c r="F6" t="s">
        <v>2092</v>
      </c>
      <c r="G6" t="s">
        <v>2099</v>
      </c>
      <c r="H6">
        <v>205</v>
      </c>
    </row>
    <row r="7" spans="1:8" x14ac:dyDescent="0.35">
      <c r="A7" t="s">
        <v>2110</v>
      </c>
      <c r="B7" t="s">
        <v>2111</v>
      </c>
      <c r="C7" t="s">
        <v>2112</v>
      </c>
      <c r="D7" t="s">
        <v>2113</v>
      </c>
      <c r="E7" t="s">
        <v>2114</v>
      </c>
      <c r="F7" t="s">
        <v>2092</v>
      </c>
      <c r="G7" t="s">
        <v>2115</v>
      </c>
      <c r="H7">
        <v>194</v>
      </c>
    </row>
    <row r="8" spans="1:8" x14ac:dyDescent="0.35">
      <c r="A8" t="s">
        <v>2116</v>
      </c>
      <c r="B8" t="s">
        <v>2117</v>
      </c>
      <c r="C8" t="s">
        <v>2112</v>
      </c>
      <c r="D8" t="s">
        <v>2118</v>
      </c>
      <c r="E8" t="s">
        <v>2119</v>
      </c>
      <c r="F8" t="s">
        <v>2092</v>
      </c>
      <c r="G8" t="s">
        <v>2120</v>
      </c>
      <c r="H8">
        <v>195</v>
      </c>
    </row>
    <row r="9" spans="1:8" x14ac:dyDescent="0.35">
      <c r="A9" t="s">
        <v>2121</v>
      </c>
      <c r="B9" t="s">
        <v>2122</v>
      </c>
      <c r="C9" t="s">
        <v>2112</v>
      </c>
      <c r="D9" t="s">
        <v>2113</v>
      </c>
      <c r="E9" t="s">
        <v>2123</v>
      </c>
      <c r="F9" t="s">
        <v>2092</v>
      </c>
      <c r="G9" t="s">
        <v>2115</v>
      </c>
      <c r="H9">
        <v>309</v>
      </c>
    </row>
    <row r="10" spans="1:8" x14ac:dyDescent="0.35">
      <c r="A10" t="s">
        <v>2124</v>
      </c>
      <c r="B10" t="s">
        <v>2125</v>
      </c>
      <c r="C10" t="s">
        <v>2112</v>
      </c>
      <c r="D10" t="s">
        <v>2126</v>
      </c>
      <c r="E10" t="s">
        <v>2119</v>
      </c>
      <c r="F10" t="s">
        <v>2092</v>
      </c>
      <c r="G10" t="s">
        <v>2127</v>
      </c>
      <c r="H10">
        <v>196</v>
      </c>
    </row>
    <row r="11" spans="1:8" x14ac:dyDescent="0.35">
      <c r="A11" t="s">
        <v>2128</v>
      </c>
      <c r="B11" t="s">
        <v>2129</v>
      </c>
      <c r="C11" t="s">
        <v>2102</v>
      </c>
      <c r="D11" t="s">
        <v>2130</v>
      </c>
      <c r="E11" t="s">
        <v>2091</v>
      </c>
      <c r="F11" t="s">
        <v>2092</v>
      </c>
      <c r="G11" t="s">
        <v>2093</v>
      </c>
      <c r="H11">
        <v>197</v>
      </c>
    </row>
    <row r="12" spans="1:8" x14ac:dyDescent="0.35">
      <c r="A12" t="s">
        <v>2131</v>
      </c>
      <c r="B12" t="s">
        <v>2132</v>
      </c>
      <c r="C12" t="s">
        <v>2133</v>
      </c>
      <c r="D12" t="s">
        <v>2126</v>
      </c>
      <c r="E12" t="s">
        <v>2119</v>
      </c>
      <c r="F12" t="s">
        <v>2092</v>
      </c>
      <c r="G12" t="s">
        <v>2127</v>
      </c>
      <c r="H12">
        <v>198</v>
      </c>
    </row>
    <row r="13" spans="1:8" x14ac:dyDescent="0.35">
      <c r="A13" t="s">
        <v>2134</v>
      </c>
      <c r="B13" t="s">
        <v>2117</v>
      </c>
      <c r="C13" t="s">
        <v>2112</v>
      </c>
      <c r="D13" t="s">
        <v>2135</v>
      </c>
      <c r="E13" t="s">
        <v>2136</v>
      </c>
      <c r="F13" t="s">
        <v>2092</v>
      </c>
      <c r="G13" t="s">
        <v>2137</v>
      </c>
      <c r="H13">
        <v>199</v>
      </c>
    </row>
    <row r="14" spans="1:8" x14ac:dyDescent="0.35">
      <c r="A14" t="s">
        <v>2138</v>
      </c>
      <c r="B14" t="s">
        <v>2139</v>
      </c>
      <c r="C14" t="s">
        <v>2102</v>
      </c>
      <c r="D14" t="s">
        <v>2113</v>
      </c>
      <c r="E14" t="s">
        <v>2140</v>
      </c>
      <c r="F14" t="s">
        <v>2092</v>
      </c>
      <c r="G14" t="s">
        <v>2115</v>
      </c>
      <c r="H14">
        <v>200</v>
      </c>
    </row>
    <row r="15" spans="1:8" x14ac:dyDescent="0.35">
      <c r="A15" t="s">
        <v>2141</v>
      </c>
      <c r="B15" t="s">
        <v>2129</v>
      </c>
      <c r="C15" t="s">
        <v>2102</v>
      </c>
      <c r="D15" t="s">
        <v>2097</v>
      </c>
      <c r="E15" t="s">
        <v>2142</v>
      </c>
      <c r="F15" t="s">
        <v>2092</v>
      </c>
      <c r="G15" t="s">
        <v>2099</v>
      </c>
      <c r="H15">
        <v>342</v>
      </c>
    </row>
    <row r="16" spans="1:8" x14ac:dyDescent="0.35">
      <c r="A16" t="s">
        <v>2143</v>
      </c>
      <c r="B16" t="s">
        <v>2125</v>
      </c>
      <c r="C16" t="s">
        <v>2112</v>
      </c>
      <c r="D16" t="s">
        <v>2126</v>
      </c>
      <c r="E16" t="s">
        <v>2144</v>
      </c>
      <c r="F16" t="s">
        <v>2092</v>
      </c>
      <c r="G16" t="s">
        <v>2127</v>
      </c>
      <c r="H16">
        <v>202</v>
      </c>
    </row>
    <row r="17" spans="1:8" x14ac:dyDescent="0.35">
      <c r="A17" t="s">
        <v>2145</v>
      </c>
      <c r="B17" t="s">
        <v>2101</v>
      </c>
      <c r="C17" t="s">
        <v>2102</v>
      </c>
      <c r="D17" t="s">
        <v>2130</v>
      </c>
      <c r="E17" t="s">
        <v>2146</v>
      </c>
      <c r="F17" t="s">
        <v>2092</v>
      </c>
      <c r="G17" t="s">
        <v>2147</v>
      </c>
      <c r="H17">
        <v>203</v>
      </c>
    </row>
    <row r="18" spans="1:8" x14ac:dyDescent="0.35">
      <c r="A18" t="s">
        <v>2148</v>
      </c>
      <c r="B18" t="s">
        <v>2125</v>
      </c>
      <c r="C18" t="s">
        <v>2112</v>
      </c>
      <c r="D18" t="s">
        <v>2126</v>
      </c>
      <c r="E18" t="s">
        <v>2149</v>
      </c>
      <c r="F18" t="s">
        <v>2092</v>
      </c>
      <c r="G18" t="s">
        <v>2127</v>
      </c>
      <c r="H18">
        <v>204</v>
      </c>
    </row>
    <row r="19" spans="1:8" x14ac:dyDescent="0.35">
      <c r="A19" t="s">
        <v>2150</v>
      </c>
      <c r="B19" t="s">
        <v>2151</v>
      </c>
      <c r="C19" t="s">
        <v>2096</v>
      </c>
      <c r="D19" t="s">
        <v>2152</v>
      </c>
      <c r="E19" t="s">
        <v>2104</v>
      </c>
      <c r="F19" t="s">
        <v>2092</v>
      </c>
      <c r="G19" t="s">
        <v>2093</v>
      </c>
      <c r="H19">
        <v>208</v>
      </c>
    </row>
    <row r="20" spans="1:8" x14ac:dyDescent="0.35">
      <c r="A20" t="s">
        <v>2153</v>
      </c>
      <c r="B20" t="s">
        <v>2154</v>
      </c>
      <c r="C20" t="s">
        <v>2102</v>
      </c>
      <c r="D20" t="s">
        <v>2097</v>
      </c>
      <c r="E20" t="s">
        <v>2098</v>
      </c>
      <c r="F20" t="s">
        <v>2092</v>
      </c>
      <c r="G20" t="s">
        <v>2099</v>
      </c>
      <c r="H20">
        <v>206</v>
      </c>
    </row>
    <row r="21" spans="1:8" x14ac:dyDescent="0.35">
      <c r="A21" t="s">
        <v>2155</v>
      </c>
      <c r="B21" t="s">
        <v>2088</v>
      </c>
      <c r="C21" t="s">
        <v>2089</v>
      </c>
      <c r="D21" t="s">
        <v>2118</v>
      </c>
      <c r="E21" t="s">
        <v>2156</v>
      </c>
      <c r="F21" t="s">
        <v>2092</v>
      </c>
      <c r="G21" t="s">
        <v>2120</v>
      </c>
      <c r="H21">
        <v>215</v>
      </c>
    </row>
    <row r="22" spans="1:8" x14ac:dyDescent="0.35">
      <c r="A22" t="s">
        <v>2113</v>
      </c>
      <c r="B22" t="s">
        <v>2157</v>
      </c>
      <c r="C22" t="s">
        <v>2112</v>
      </c>
      <c r="D22" t="s">
        <v>2135</v>
      </c>
      <c r="E22" t="s">
        <v>2158</v>
      </c>
      <c r="F22" t="s">
        <v>2092</v>
      </c>
      <c r="G22" t="s">
        <v>2115</v>
      </c>
      <c r="H22">
        <v>209</v>
      </c>
    </row>
    <row r="23" spans="1:8" x14ac:dyDescent="0.35">
      <c r="A23" t="s">
        <v>2159</v>
      </c>
      <c r="B23" t="s">
        <v>2160</v>
      </c>
      <c r="C23" t="s">
        <v>2096</v>
      </c>
      <c r="D23" t="s">
        <v>2118</v>
      </c>
      <c r="E23" t="s">
        <v>2156</v>
      </c>
      <c r="F23" t="s">
        <v>2092</v>
      </c>
      <c r="G23" t="s">
        <v>2120</v>
      </c>
      <c r="H23">
        <v>211</v>
      </c>
    </row>
    <row r="24" spans="1:8" x14ac:dyDescent="0.35">
      <c r="A24" t="s">
        <v>2161</v>
      </c>
      <c r="B24" t="s">
        <v>2162</v>
      </c>
      <c r="C24" t="s">
        <v>2163</v>
      </c>
      <c r="D24" t="s">
        <v>2134</v>
      </c>
      <c r="E24" t="s">
        <v>2164</v>
      </c>
      <c r="F24" t="s">
        <v>2092</v>
      </c>
      <c r="G24" t="s">
        <v>2137</v>
      </c>
      <c r="H24">
        <v>212</v>
      </c>
    </row>
    <row r="25" spans="1:8" x14ac:dyDescent="0.35">
      <c r="A25" t="s">
        <v>2165</v>
      </c>
      <c r="B25" t="s">
        <v>2166</v>
      </c>
      <c r="C25" t="s">
        <v>2089</v>
      </c>
      <c r="D25" t="s">
        <v>2113</v>
      </c>
      <c r="E25" t="s">
        <v>2167</v>
      </c>
      <c r="F25" t="s">
        <v>2092</v>
      </c>
      <c r="G25" t="s">
        <v>2115</v>
      </c>
      <c r="H25">
        <v>213</v>
      </c>
    </row>
    <row r="26" spans="1:8" x14ac:dyDescent="0.35">
      <c r="A26" t="s">
        <v>2168</v>
      </c>
      <c r="B26" t="s">
        <v>2151</v>
      </c>
      <c r="C26" t="s">
        <v>2096</v>
      </c>
      <c r="D26" t="s">
        <v>2169</v>
      </c>
      <c r="E26" t="s">
        <v>2170</v>
      </c>
      <c r="F26" t="s">
        <v>2092</v>
      </c>
      <c r="G26" t="s">
        <v>2171</v>
      </c>
      <c r="H26">
        <v>214</v>
      </c>
    </row>
    <row r="27" spans="1:8" x14ac:dyDescent="0.35">
      <c r="A27" t="s">
        <v>2172</v>
      </c>
      <c r="B27" t="s">
        <v>2166</v>
      </c>
      <c r="C27" t="s">
        <v>2089</v>
      </c>
      <c r="D27" t="s">
        <v>2090</v>
      </c>
      <c r="E27" t="s">
        <v>2091</v>
      </c>
      <c r="F27" t="s">
        <v>2092</v>
      </c>
      <c r="G27" t="s">
        <v>2093</v>
      </c>
      <c r="H27">
        <v>216</v>
      </c>
    </row>
    <row r="28" spans="1:8" x14ac:dyDescent="0.35">
      <c r="A28" t="s">
        <v>2173</v>
      </c>
      <c r="B28" t="s">
        <v>2166</v>
      </c>
      <c r="C28" t="s">
        <v>2089</v>
      </c>
      <c r="D28" t="s">
        <v>2103</v>
      </c>
      <c r="E28" t="s">
        <v>2104</v>
      </c>
      <c r="F28" t="s">
        <v>2092</v>
      </c>
      <c r="G28" t="s">
        <v>2105</v>
      </c>
      <c r="H28">
        <v>220</v>
      </c>
    </row>
    <row r="29" spans="1:8" x14ac:dyDescent="0.35">
      <c r="A29" t="s">
        <v>2135</v>
      </c>
      <c r="B29" t="s">
        <v>2174</v>
      </c>
      <c r="C29" t="s">
        <v>2112</v>
      </c>
      <c r="D29" t="s">
        <v>2175</v>
      </c>
      <c r="E29" t="s">
        <v>2176</v>
      </c>
      <c r="F29" t="s">
        <v>2092</v>
      </c>
      <c r="G29" t="s">
        <v>2177</v>
      </c>
      <c r="H29">
        <v>217</v>
      </c>
    </row>
    <row r="30" spans="1:8" x14ac:dyDescent="0.35">
      <c r="A30" t="s">
        <v>2178</v>
      </c>
      <c r="B30" t="s">
        <v>2151</v>
      </c>
      <c r="C30" t="s">
        <v>2096</v>
      </c>
      <c r="D30" t="s">
        <v>2152</v>
      </c>
      <c r="E30" t="s">
        <v>2091</v>
      </c>
      <c r="F30" t="s">
        <v>2092</v>
      </c>
      <c r="G30" t="s">
        <v>2093</v>
      </c>
      <c r="H30">
        <v>218</v>
      </c>
    </row>
    <row r="31" spans="1:8" x14ac:dyDescent="0.35">
      <c r="A31" t="s">
        <v>2035</v>
      </c>
      <c r="B31" t="s">
        <v>2151</v>
      </c>
      <c r="C31" t="s">
        <v>2096</v>
      </c>
      <c r="D31" t="s">
        <v>2103</v>
      </c>
      <c r="E31" t="s">
        <v>2104</v>
      </c>
      <c r="F31" t="s">
        <v>2092</v>
      </c>
      <c r="G31" t="s">
        <v>2105</v>
      </c>
      <c r="H31">
        <v>219</v>
      </c>
    </row>
    <row r="32" spans="1:8" x14ac:dyDescent="0.35">
      <c r="A32" t="s">
        <v>2179</v>
      </c>
      <c r="B32" t="s">
        <v>2129</v>
      </c>
      <c r="C32" t="s">
        <v>2102</v>
      </c>
      <c r="D32" t="s">
        <v>2113</v>
      </c>
      <c r="E32" t="s">
        <v>2167</v>
      </c>
      <c r="F32" t="s">
        <v>2092</v>
      </c>
      <c r="G32" t="s">
        <v>2115</v>
      </c>
      <c r="H32">
        <v>189</v>
      </c>
    </row>
    <row r="33" spans="1:8" x14ac:dyDescent="0.35">
      <c r="A33" t="s">
        <v>2180</v>
      </c>
      <c r="B33" t="s">
        <v>2125</v>
      </c>
      <c r="C33" t="s">
        <v>2112</v>
      </c>
      <c r="D33" t="s">
        <v>2181</v>
      </c>
      <c r="E33" t="s">
        <v>2182</v>
      </c>
      <c r="F33" t="s">
        <v>2092</v>
      </c>
      <c r="G33" t="s">
        <v>2115</v>
      </c>
      <c r="H33">
        <v>221</v>
      </c>
    </row>
    <row r="34" spans="1:8" x14ac:dyDescent="0.35">
      <c r="A34" t="s">
        <v>2183</v>
      </c>
      <c r="B34" t="s">
        <v>2132</v>
      </c>
      <c r="C34" t="s">
        <v>2133</v>
      </c>
      <c r="D34" t="s">
        <v>2103</v>
      </c>
      <c r="E34" t="s">
        <v>2091</v>
      </c>
      <c r="F34" t="s">
        <v>2092</v>
      </c>
      <c r="G34" t="s">
        <v>2184</v>
      </c>
      <c r="H34">
        <v>311</v>
      </c>
    </row>
    <row r="35" spans="1:8" x14ac:dyDescent="0.35">
      <c r="A35" t="s">
        <v>2185</v>
      </c>
      <c r="B35" t="s">
        <v>2101</v>
      </c>
      <c r="C35" t="s">
        <v>2102</v>
      </c>
      <c r="D35" t="s">
        <v>2169</v>
      </c>
      <c r="E35" t="s">
        <v>2186</v>
      </c>
      <c r="F35" t="s">
        <v>2092</v>
      </c>
      <c r="G35" t="s">
        <v>2171</v>
      </c>
      <c r="H35">
        <v>222</v>
      </c>
    </row>
    <row r="36" spans="1:8" x14ac:dyDescent="0.35">
      <c r="A36" t="s">
        <v>2187</v>
      </c>
      <c r="B36" t="s">
        <v>2129</v>
      </c>
      <c r="C36" t="s">
        <v>2102</v>
      </c>
      <c r="D36" t="s">
        <v>2103</v>
      </c>
      <c r="E36" t="s">
        <v>2188</v>
      </c>
      <c r="F36" t="s">
        <v>2092</v>
      </c>
      <c r="G36" t="s">
        <v>2184</v>
      </c>
      <c r="H36">
        <v>312</v>
      </c>
    </row>
    <row r="37" spans="1:8" x14ac:dyDescent="0.35">
      <c r="A37" t="s">
        <v>2189</v>
      </c>
      <c r="B37" t="s">
        <v>2190</v>
      </c>
      <c r="C37" t="s">
        <v>2102</v>
      </c>
      <c r="D37" t="s">
        <v>2097</v>
      </c>
      <c r="E37" t="s">
        <v>2098</v>
      </c>
      <c r="F37" t="s">
        <v>2092</v>
      </c>
      <c r="G37" t="s">
        <v>2099</v>
      </c>
      <c r="H37">
        <v>223</v>
      </c>
    </row>
    <row r="38" spans="1:8" x14ac:dyDescent="0.35">
      <c r="A38" t="s">
        <v>2191</v>
      </c>
      <c r="B38" t="s">
        <v>2122</v>
      </c>
      <c r="C38" t="s">
        <v>2112</v>
      </c>
      <c r="D38" t="s">
        <v>2181</v>
      </c>
      <c r="E38" t="s">
        <v>2123</v>
      </c>
      <c r="F38" t="s">
        <v>2092</v>
      </c>
      <c r="G38" t="s">
        <v>2115</v>
      </c>
      <c r="H38">
        <v>345</v>
      </c>
    </row>
    <row r="39" spans="1:8" x14ac:dyDescent="0.35">
      <c r="A39" t="s">
        <v>2192</v>
      </c>
      <c r="B39" t="s">
        <v>2101</v>
      </c>
      <c r="C39" t="s">
        <v>2102</v>
      </c>
      <c r="D39" t="s">
        <v>2103</v>
      </c>
      <c r="E39" t="s">
        <v>2193</v>
      </c>
      <c r="F39" t="s">
        <v>2092</v>
      </c>
      <c r="G39" t="s">
        <v>2194</v>
      </c>
      <c r="H39">
        <v>224</v>
      </c>
    </row>
    <row r="40" spans="1:8" x14ac:dyDescent="0.35">
      <c r="A40" t="s">
        <v>2195</v>
      </c>
      <c r="B40" t="s">
        <v>2151</v>
      </c>
      <c r="C40" t="s">
        <v>2096</v>
      </c>
      <c r="D40" t="s">
        <v>2103</v>
      </c>
      <c r="E40" t="s">
        <v>2193</v>
      </c>
      <c r="F40" t="s">
        <v>2092</v>
      </c>
      <c r="G40" t="s">
        <v>2194</v>
      </c>
      <c r="H40">
        <v>226</v>
      </c>
    </row>
    <row r="41" spans="1:8" x14ac:dyDescent="0.35">
      <c r="A41" t="s">
        <v>2196</v>
      </c>
      <c r="B41" t="s">
        <v>2166</v>
      </c>
      <c r="C41" t="s">
        <v>2089</v>
      </c>
      <c r="D41" t="s">
        <v>2103</v>
      </c>
      <c r="E41" t="s">
        <v>2193</v>
      </c>
      <c r="F41" t="s">
        <v>2092</v>
      </c>
      <c r="G41" t="s">
        <v>2194</v>
      </c>
      <c r="H41">
        <v>227</v>
      </c>
    </row>
    <row r="42" spans="1:8" x14ac:dyDescent="0.35">
      <c r="A42" t="s">
        <v>2126</v>
      </c>
      <c r="B42" t="s">
        <v>2174</v>
      </c>
      <c r="C42" t="s">
        <v>2112</v>
      </c>
      <c r="D42" t="s">
        <v>2135</v>
      </c>
      <c r="E42" t="s">
        <v>2197</v>
      </c>
      <c r="F42" t="s">
        <v>2092</v>
      </c>
      <c r="G42" t="s">
        <v>2127</v>
      </c>
      <c r="H42">
        <v>228</v>
      </c>
    </row>
    <row r="43" spans="1:8" x14ac:dyDescent="0.35">
      <c r="A43" t="s">
        <v>2198</v>
      </c>
      <c r="B43" t="s">
        <v>2154</v>
      </c>
      <c r="C43" t="s">
        <v>2102</v>
      </c>
      <c r="D43" t="s">
        <v>2169</v>
      </c>
      <c r="E43" t="s">
        <v>2170</v>
      </c>
      <c r="F43" t="s">
        <v>2092</v>
      </c>
      <c r="G43" t="s">
        <v>2171</v>
      </c>
      <c r="H43">
        <v>314</v>
      </c>
    </row>
    <row r="44" spans="1:8" x14ac:dyDescent="0.35">
      <c r="A44" t="s">
        <v>2199</v>
      </c>
      <c r="B44" t="s">
        <v>2151</v>
      </c>
      <c r="C44" t="s">
        <v>2096</v>
      </c>
      <c r="D44" t="s">
        <v>2169</v>
      </c>
      <c r="E44" t="s">
        <v>2186</v>
      </c>
      <c r="F44" t="s">
        <v>2092</v>
      </c>
      <c r="G44" t="s">
        <v>2171</v>
      </c>
      <c r="H44">
        <v>230</v>
      </c>
    </row>
    <row r="45" spans="1:8" x14ac:dyDescent="0.35">
      <c r="A45" t="s">
        <v>2169</v>
      </c>
      <c r="B45" t="s">
        <v>2125</v>
      </c>
      <c r="C45" t="s">
        <v>2112</v>
      </c>
      <c r="D45" t="s">
        <v>2200</v>
      </c>
      <c r="E45" t="s">
        <v>2201</v>
      </c>
      <c r="F45" t="s">
        <v>2092</v>
      </c>
      <c r="G45" t="s">
        <v>2171</v>
      </c>
      <c r="H45">
        <v>231</v>
      </c>
    </row>
    <row r="46" spans="1:8" x14ac:dyDescent="0.35">
      <c r="A46" t="s">
        <v>2202</v>
      </c>
      <c r="B46" t="s">
        <v>2190</v>
      </c>
      <c r="C46" t="s">
        <v>2102</v>
      </c>
      <c r="D46" t="s">
        <v>2097</v>
      </c>
      <c r="E46" t="s">
        <v>2203</v>
      </c>
      <c r="F46" t="s">
        <v>2092</v>
      </c>
      <c r="G46" t="s">
        <v>2099</v>
      </c>
      <c r="H46">
        <v>232</v>
      </c>
    </row>
    <row r="47" spans="1:8" x14ac:dyDescent="0.35">
      <c r="A47" t="s">
        <v>2204</v>
      </c>
      <c r="B47" t="s">
        <v>2166</v>
      </c>
      <c r="C47" t="s">
        <v>2089</v>
      </c>
      <c r="D47" t="s">
        <v>2090</v>
      </c>
      <c r="E47" t="s">
        <v>2104</v>
      </c>
      <c r="F47" t="s">
        <v>2092</v>
      </c>
      <c r="G47" t="s">
        <v>2147</v>
      </c>
      <c r="H47">
        <v>233</v>
      </c>
    </row>
    <row r="48" spans="1:8" x14ac:dyDescent="0.35">
      <c r="A48" t="s">
        <v>2205</v>
      </c>
      <c r="B48" t="s">
        <v>2174</v>
      </c>
      <c r="C48" t="s">
        <v>2112</v>
      </c>
      <c r="D48" t="s">
        <v>2206</v>
      </c>
      <c r="E48" t="s">
        <v>2207</v>
      </c>
      <c r="F48" t="s">
        <v>2092</v>
      </c>
      <c r="G48" t="s">
        <v>2208</v>
      </c>
      <c r="H48">
        <v>234</v>
      </c>
    </row>
    <row r="49" spans="1:8" x14ac:dyDescent="0.35">
      <c r="A49" t="s">
        <v>2209</v>
      </c>
      <c r="B49" t="s">
        <v>2151</v>
      </c>
      <c r="C49" t="s">
        <v>2096</v>
      </c>
      <c r="D49" t="s">
        <v>2103</v>
      </c>
      <c r="E49" t="s">
        <v>2188</v>
      </c>
      <c r="F49" t="s">
        <v>2092</v>
      </c>
      <c r="G49" t="s">
        <v>2184</v>
      </c>
      <c r="H49">
        <v>235</v>
      </c>
    </row>
    <row r="50" spans="1:8" x14ac:dyDescent="0.35">
      <c r="A50" t="s">
        <v>2210</v>
      </c>
      <c r="B50" t="s">
        <v>2101</v>
      </c>
      <c r="C50" t="s">
        <v>2102</v>
      </c>
      <c r="D50" t="s">
        <v>2103</v>
      </c>
      <c r="E50" t="s">
        <v>2104</v>
      </c>
      <c r="F50" t="s">
        <v>2092</v>
      </c>
      <c r="G50" t="s">
        <v>2184</v>
      </c>
      <c r="H50">
        <v>236</v>
      </c>
    </row>
    <row r="51" spans="1:8" x14ac:dyDescent="0.35">
      <c r="A51" t="s">
        <v>2211</v>
      </c>
      <c r="B51" t="s">
        <v>2212</v>
      </c>
      <c r="C51" t="s">
        <v>2112</v>
      </c>
      <c r="D51" t="s">
        <v>2103</v>
      </c>
      <c r="E51" t="s">
        <v>2123</v>
      </c>
      <c r="F51" t="s">
        <v>2092</v>
      </c>
      <c r="G51" t="s">
        <v>2213</v>
      </c>
      <c r="H51">
        <v>237</v>
      </c>
    </row>
    <row r="52" spans="1:8" x14ac:dyDescent="0.35">
      <c r="A52" t="s">
        <v>2214</v>
      </c>
      <c r="B52" t="s">
        <v>2151</v>
      </c>
      <c r="C52" t="s">
        <v>2096</v>
      </c>
      <c r="D52" t="s">
        <v>2169</v>
      </c>
      <c r="E52" t="s">
        <v>2215</v>
      </c>
      <c r="F52" t="s">
        <v>2092</v>
      </c>
      <c r="G52" t="s">
        <v>2171</v>
      </c>
      <c r="H52">
        <v>238</v>
      </c>
    </row>
    <row r="53" spans="1:8" x14ac:dyDescent="0.35">
      <c r="A53" t="s">
        <v>2216</v>
      </c>
      <c r="B53" t="s">
        <v>2157</v>
      </c>
      <c r="C53" t="s">
        <v>2112</v>
      </c>
      <c r="D53" t="s">
        <v>2135</v>
      </c>
      <c r="E53" t="s">
        <v>2217</v>
      </c>
      <c r="F53" t="s">
        <v>2092</v>
      </c>
      <c r="G53" t="s">
        <v>2213</v>
      </c>
      <c r="H53">
        <v>240</v>
      </c>
    </row>
    <row r="54" spans="1:8" x14ac:dyDescent="0.35">
      <c r="A54" t="s">
        <v>2218</v>
      </c>
      <c r="B54" t="s">
        <v>2095</v>
      </c>
      <c r="C54" t="s">
        <v>2096</v>
      </c>
      <c r="D54" t="s">
        <v>2097</v>
      </c>
      <c r="E54" t="s">
        <v>2219</v>
      </c>
      <c r="F54" t="s">
        <v>2092</v>
      </c>
      <c r="G54" t="s">
        <v>2099</v>
      </c>
      <c r="H54">
        <v>241</v>
      </c>
    </row>
    <row r="55" spans="1:8" x14ac:dyDescent="0.35">
      <c r="A55" t="s">
        <v>2220</v>
      </c>
      <c r="B55" t="s">
        <v>2125</v>
      </c>
      <c r="C55" t="s">
        <v>2112</v>
      </c>
      <c r="D55" t="s">
        <v>2221</v>
      </c>
      <c r="E55" t="s">
        <v>2222</v>
      </c>
      <c r="F55" t="s">
        <v>2092</v>
      </c>
      <c r="G55" t="s">
        <v>2223</v>
      </c>
      <c r="H55">
        <v>242</v>
      </c>
    </row>
    <row r="56" spans="1:8" x14ac:dyDescent="0.35">
      <c r="A56" t="s">
        <v>2224</v>
      </c>
      <c r="B56" t="s">
        <v>2132</v>
      </c>
      <c r="C56" t="s">
        <v>2133</v>
      </c>
      <c r="D56" t="s">
        <v>2113</v>
      </c>
      <c r="E56" t="s">
        <v>2140</v>
      </c>
      <c r="F56" t="s">
        <v>2092</v>
      </c>
      <c r="G56" t="s">
        <v>2115</v>
      </c>
      <c r="H56">
        <v>243</v>
      </c>
    </row>
    <row r="57" spans="1:8" x14ac:dyDescent="0.35">
      <c r="A57" t="s">
        <v>2225</v>
      </c>
      <c r="B57" t="s">
        <v>2151</v>
      </c>
      <c r="C57" t="s">
        <v>2096</v>
      </c>
      <c r="D57" t="s">
        <v>2152</v>
      </c>
      <c r="E57" t="s">
        <v>2146</v>
      </c>
      <c r="F57" t="s">
        <v>2092</v>
      </c>
      <c r="G57" t="s">
        <v>2093</v>
      </c>
      <c r="H57">
        <v>308</v>
      </c>
    </row>
    <row r="58" spans="1:8" x14ac:dyDescent="0.35">
      <c r="A58" t="s">
        <v>2097</v>
      </c>
      <c r="B58" t="s">
        <v>2125</v>
      </c>
      <c r="C58" t="s">
        <v>2112</v>
      </c>
      <c r="D58" t="s">
        <v>2126</v>
      </c>
      <c r="E58" t="s">
        <v>2226</v>
      </c>
      <c r="F58" t="s">
        <v>2092</v>
      </c>
      <c r="G58" t="s">
        <v>2127</v>
      </c>
      <c r="H58">
        <v>244</v>
      </c>
    </row>
    <row r="59" spans="1:8" x14ac:dyDescent="0.35">
      <c r="A59" t="s">
        <v>2227</v>
      </c>
      <c r="B59" t="s">
        <v>2125</v>
      </c>
      <c r="C59" t="s">
        <v>2112</v>
      </c>
      <c r="D59" t="s">
        <v>2126</v>
      </c>
      <c r="E59" t="s">
        <v>2228</v>
      </c>
      <c r="F59" t="s">
        <v>2092</v>
      </c>
      <c r="G59" t="s">
        <v>2099</v>
      </c>
      <c r="H59">
        <v>245</v>
      </c>
    </row>
    <row r="60" spans="1:8" x14ac:dyDescent="0.35">
      <c r="A60" t="s">
        <v>2229</v>
      </c>
      <c r="B60" t="s">
        <v>2095</v>
      </c>
      <c r="C60" t="s">
        <v>2096</v>
      </c>
      <c r="D60" t="s">
        <v>2152</v>
      </c>
      <c r="E60" t="s">
        <v>2146</v>
      </c>
      <c r="F60" t="s">
        <v>2092</v>
      </c>
      <c r="G60" t="s">
        <v>2147</v>
      </c>
      <c r="H60">
        <v>246</v>
      </c>
    </row>
    <row r="61" spans="1:8" x14ac:dyDescent="0.35">
      <c r="A61" t="s">
        <v>2230</v>
      </c>
      <c r="B61" t="s">
        <v>2231</v>
      </c>
      <c r="C61" t="s">
        <v>2112</v>
      </c>
      <c r="D61" t="s">
        <v>2126</v>
      </c>
      <c r="E61" t="s">
        <v>2232</v>
      </c>
      <c r="F61" t="s">
        <v>2092</v>
      </c>
      <c r="G61" t="s">
        <v>2127</v>
      </c>
      <c r="H61">
        <v>346</v>
      </c>
    </row>
    <row r="62" spans="1:8" x14ac:dyDescent="0.35">
      <c r="A62" t="s">
        <v>2233</v>
      </c>
      <c r="B62" t="s">
        <v>2151</v>
      </c>
      <c r="C62" t="s">
        <v>2096</v>
      </c>
      <c r="D62" t="s">
        <v>2152</v>
      </c>
      <c r="E62" t="s">
        <v>2091</v>
      </c>
      <c r="F62" t="s">
        <v>2092</v>
      </c>
      <c r="G62" t="s">
        <v>2093</v>
      </c>
      <c r="H62">
        <v>247</v>
      </c>
    </row>
    <row r="63" spans="1:8" x14ac:dyDescent="0.35">
      <c r="A63" t="s">
        <v>2234</v>
      </c>
      <c r="B63" t="s">
        <v>2101</v>
      </c>
      <c r="C63" t="s">
        <v>2102</v>
      </c>
      <c r="D63" t="s">
        <v>2103</v>
      </c>
      <c r="E63" t="s">
        <v>2193</v>
      </c>
      <c r="F63" t="s">
        <v>2092</v>
      </c>
      <c r="G63" t="s">
        <v>2194</v>
      </c>
      <c r="H63">
        <v>248</v>
      </c>
    </row>
    <row r="64" spans="1:8" x14ac:dyDescent="0.35">
      <c r="A64" t="s">
        <v>2130</v>
      </c>
      <c r="B64" t="s">
        <v>2235</v>
      </c>
      <c r="C64" t="s">
        <v>2102</v>
      </c>
      <c r="D64" t="s">
        <v>2216</v>
      </c>
      <c r="E64" t="s">
        <v>2236</v>
      </c>
      <c r="F64" t="s">
        <v>2092</v>
      </c>
      <c r="G64" t="s">
        <v>2213</v>
      </c>
      <c r="H64">
        <v>249</v>
      </c>
    </row>
    <row r="65" spans="1:8" x14ac:dyDescent="0.35">
      <c r="A65" t="s">
        <v>2237</v>
      </c>
      <c r="B65" t="s">
        <v>2095</v>
      </c>
      <c r="C65" t="s">
        <v>2096</v>
      </c>
      <c r="D65" t="s">
        <v>2097</v>
      </c>
      <c r="E65" t="s">
        <v>2142</v>
      </c>
      <c r="F65" t="s">
        <v>2092</v>
      </c>
      <c r="G65" t="s">
        <v>2099</v>
      </c>
      <c r="H65">
        <v>250</v>
      </c>
    </row>
    <row r="66" spans="1:8" x14ac:dyDescent="0.35">
      <c r="A66" t="s">
        <v>2238</v>
      </c>
      <c r="B66" t="s">
        <v>2212</v>
      </c>
      <c r="C66" t="s">
        <v>2112</v>
      </c>
      <c r="D66" t="s">
        <v>2221</v>
      </c>
      <c r="E66" t="s">
        <v>2123</v>
      </c>
      <c r="F66" t="s">
        <v>2092</v>
      </c>
      <c r="G66" t="s">
        <v>2223</v>
      </c>
      <c r="H66">
        <v>251</v>
      </c>
    </row>
    <row r="67" spans="1:8" x14ac:dyDescent="0.35">
      <c r="A67" t="s">
        <v>2239</v>
      </c>
      <c r="B67" t="s">
        <v>2154</v>
      </c>
      <c r="C67" t="s">
        <v>2102</v>
      </c>
      <c r="D67" t="s">
        <v>2103</v>
      </c>
      <c r="E67" t="s">
        <v>2193</v>
      </c>
      <c r="F67" t="s">
        <v>2092</v>
      </c>
      <c r="G67" t="s">
        <v>2194</v>
      </c>
      <c r="H67">
        <v>340</v>
      </c>
    </row>
    <row r="68" spans="1:8" x14ac:dyDescent="0.35">
      <c r="A68" t="s">
        <v>2240</v>
      </c>
      <c r="B68" t="s">
        <v>2241</v>
      </c>
      <c r="C68" t="s">
        <v>2102</v>
      </c>
      <c r="D68" t="s">
        <v>2118</v>
      </c>
      <c r="E68" t="s">
        <v>2156</v>
      </c>
      <c r="F68" t="s">
        <v>2092</v>
      </c>
      <c r="G68" t="s">
        <v>2120</v>
      </c>
      <c r="H68">
        <v>252</v>
      </c>
    </row>
    <row r="69" spans="1:8" x14ac:dyDescent="0.35">
      <c r="A69" t="s">
        <v>2242</v>
      </c>
      <c r="B69" t="s">
        <v>2151</v>
      </c>
      <c r="C69" t="s">
        <v>2096</v>
      </c>
      <c r="D69" t="s">
        <v>2103</v>
      </c>
      <c r="E69" t="s">
        <v>2091</v>
      </c>
      <c r="F69" t="s">
        <v>2092</v>
      </c>
      <c r="G69" t="s">
        <v>2184</v>
      </c>
      <c r="H69">
        <v>253</v>
      </c>
    </row>
    <row r="70" spans="1:8" x14ac:dyDescent="0.35">
      <c r="A70" t="s">
        <v>2243</v>
      </c>
      <c r="B70" t="s">
        <v>2151</v>
      </c>
      <c r="C70" t="s">
        <v>2096</v>
      </c>
      <c r="D70" t="s">
        <v>2152</v>
      </c>
      <c r="E70" t="s">
        <v>2104</v>
      </c>
      <c r="F70" t="s">
        <v>2092</v>
      </c>
      <c r="G70" t="s">
        <v>2147</v>
      </c>
      <c r="H70">
        <v>255</v>
      </c>
    </row>
    <row r="71" spans="1:8" x14ac:dyDescent="0.35">
      <c r="A71" t="s">
        <v>2244</v>
      </c>
      <c r="B71" t="s">
        <v>2101</v>
      </c>
      <c r="C71" t="s">
        <v>2102</v>
      </c>
      <c r="D71" t="s">
        <v>2130</v>
      </c>
      <c r="E71" t="s">
        <v>2091</v>
      </c>
      <c r="F71" t="s">
        <v>2092</v>
      </c>
      <c r="G71" t="s">
        <v>2093</v>
      </c>
      <c r="H71">
        <v>256</v>
      </c>
    </row>
    <row r="72" spans="1:8" x14ac:dyDescent="0.35">
      <c r="A72" t="s">
        <v>2090</v>
      </c>
      <c r="B72" t="s">
        <v>2245</v>
      </c>
      <c r="C72" t="s">
        <v>2089</v>
      </c>
      <c r="D72" t="s">
        <v>2216</v>
      </c>
      <c r="E72" t="s">
        <v>2236</v>
      </c>
      <c r="F72" t="s">
        <v>2092</v>
      </c>
      <c r="G72" t="s">
        <v>2213</v>
      </c>
      <c r="H72">
        <v>257</v>
      </c>
    </row>
    <row r="73" spans="1:8" x14ac:dyDescent="0.35">
      <c r="A73" t="s">
        <v>2246</v>
      </c>
      <c r="B73" t="s">
        <v>2157</v>
      </c>
      <c r="C73" t="s">
        <v>2112</v>
      </c>
      <c r="D73" t="s">
        <v>2135</v>
      </c>
      <c r="E73" t="s">
        <v>2247</v>
      </c>
      <c r="F73" t="s">
        <v>2092</v>
      </c>
      <c r="G73" t="s">
        <v>2248</v>
      </c>
      <c r="H73">
        <v>66</v>
      </c>
    </row>
    <row r="74" spans="1:8" x14ac:dyDescent="0.35">
      <c r="A74" t="s">
        <v>2249</v>
      </c>
      <c r="B74" t="s">
        <v>2132</v>
      </c>
      <c r="C74" t="s">
        <v>2133</v>
      </c>
      <c r="D74" t="s">
        <v>2090</v>
      </c>
      <c r="E74" t="s">
        <v>2146</v>
      </c>
      <c r="F74" t="s">
        <v>2092</v>
      </c>
      <c r="G74" t="s">
        <v>2093</v>
      </c>
      <c r="H74">
        <v>260</v>
      </c>
    </row>
    <row r="75" spans="1:8" x14ac:dyDescent="0.35">
      <c r="A75" t="s">
        <v>2250</v>
      </c>
      <c r="B75" t="s">
        <v>2109</v>
      </c>
      <c r="C75" t="s">
        <v>2089</v>
      </c>
      <c r="D75" t="s">
        <v>2097</v>
      </c>
      <c r="E75" t="s">
        <v>2107</v>
      </c>
      <c r="F75" t="s">
        <v>2092</v>
      </c>
      <c r="G75" t="s">
        <v>2099</v>
      </c>
      <c r="H75">
        <v>262</v>
      </c>
    </row>
    <row r="76" spans="1:8" x14ac:dyDescent="0.35">
      <c r="A76" t="s">
        <v>2251</v>
      </c>
      <c r="B76" t="s">
        <v>2132</v>
      </c>
      <c r="C76" t="s">
        <v>2133</v>
      </c>
      <c r="D76" t="s">
        <v>2090</v>
      </c>
      <c r="E76" t="s">
        <v>2091</v>
      </c>
      <c r="F76" t="s">
        <v>2092</v>
      </c>
      <c r="G76" t="s">
        <v>2093</v>
      </c>
      <c r="H76">
        <v>341</v>
      </c>
    </row>
    <row r="77" spans="1:8" x14ac:dyDescent="0.35">
      <c r="A77" t="s">
        <v>2252</v>
      </c>
      <c r="B77" t="s">
        <v>2095</v>
      </c>
      <c r="C77" t="s">
        <v>2096</v>
      </c>
      <c r="D77" t="s">
        <v>2097</v>
      </c>
      <c r="E77" t="s">
        <v>2253</v>
      </c>
      <c r="F77" t="s">
        <v>2092</v>
      </c>
      <c r="G77" t="s">
        <v>2099</v>
      </c>
      <c r="H77">
        <v>263</v>
      </c>
    </row>
    <row r="78" spans="1:8" x14ac:dyDescent="0.35">
      <c r="A78" t="s">
        <v>2254</v>
      </c>
      <c r="B78" t="s">
        <v>2166</v>
      </c>
      <c r="C78" t="s">
        <v>2089</v>
      </c>
      <c r="D78" t="s">
        <v>2103</v>
      </c>
      <c r="E78" t="s">
        <v>2091</v>
      </c>
      <c r="F78" t="s">
        <v>2092</v>
      </c>
      <c r="G78" t="s">
        <v>2184</v>
      </c>
      <c r="H78">
        <v>264</v>
      </c>
    </row>
    <row r="79" spans="1:8" x14ac:dyDescent="0.35">
      <c r="A79" t="s">
        <v>2255</v>
      </c>
      <c r="B79" t="s">
        <v>2125</v>
      </c>
      <c r="C79" t="s">
        <v>2112</v>
      </c>
      <c r="D79" t="s">
        <v>2246</v>
      </c>
      <c r="E79" t="s">
        <v>2256</v>
      </c>
      <c r="F79" t="s">
        <v>2092</v>
      </c>
      <c r="G79" t="s">
        <v>2248</v>
      </c>
      <c r="H79">
        <v>265</v>
      </c>
    </row>
    <row r="80" spans="1:8" x14ac:dyDescent="0.35">
      <c r="A80" t="s">
        <v>2257</v>
      </c>
      <c r="B80" t="s">
        <v>2151</v>
      </c>
      <c r="C80" t="s">
        <v>2096</v>
      </c>
      <c r="D80" t="s">
        <v>2169</v>
      </c>
      <c r="E80" t="s">
        <v>2186</v>
      </c>
      <c r="F80" t="s">
        <v>2092</v>
      </c>
      <c r="G80" t="s">
        <v>2171</v>
      </c>
      <c r="H80">
        <v>266</v>
      </c>
    </row>
    <row r="81" spans="1:8" x14ac:dyDescent="0.35">
      <c r="A81" t="s">
        <v>2258</v>
      </c>
      <c r="B81" t="s">
        <v>2259</v>
      </c>
      <c r="C81" t="s">
        <v>2102</v>
      </c>
      <c r="D81" t="s">
        <v>2097</v>
      </c>
      <c r="E81" t="s">
        <v>2098</v>
      </c>
      <c r="F81" t="s">
        <v>2092</v>
      </c>
      <c r="G81" t="s">
        <v>2099</v>
      </c>
      <c r="H81">
        <v>267</v>
      </c>
    </row>
    <row r="82" spans="1:8" x14ac:dyDescent="0.35">
      <c r="A82" t="s">
        <v>2260</v>
      </c>
      <c r="B82" t="s">
        <v>2101</v>
      </c>
      <c r="C82" t="s">
        <v>2102</v>
      </c>
      <c r="D82" t="s">
        <v>2169</v>
      </c>
      <c r="E82" t="s">
        <v>2170</v>
      </c>
      <c r="F82" t="s">
        <v>2092</v>
      </c>
      <c r="G82" t="s">
        <v>2171</v>
      </c>
      <c r="H82">
        <v>268</v>
      </c>
    </row>
    <row r="83" spans="1:8" x14ac:dyDescent="0.35">
      <c r="A83" t="s">
        <v>2261</v>
      </c>
      <c r="B83" t="s">
        <v>2122</v>
      </c>
      <c r="C83" t="s">
        <v>2112</v>
      </c>
      <c r="D83" t="s">
        <v>2126</v>
      </c>
      <c r="E83" t="s">
        <v>2123</v>
      </c>
      <c r="F83" t="s">
        <v>2092</v>
      </c>
      <c r="G83" t="s">
        <v>2127</v>
      </c>
      <c r="H83">
        <v>270</v>
      </c>
    </row>
    <row r="84" spans="1:8" x14ac:dyDescent="0.35">
      <c r="A84" t="s">
        <v>2262</v>
      </c>
      <c r="B84" t="s">
        <v>2166</v>
      </c>
      <c r="C84" t="s">
        <v>2089</v>
      </c>
      <c r="D84" t="s">
        <v>2169</v>
      </c>
      <c r="E84" t="s">
        <v>2186</v>
      </c>
      <c r="F84" t="s">
        <v>2092</v>
      </c>
      <c r="G84" t="s">
        <v>2171</v>
      </c>
      <c r="H84">
        <v>271</v>
      </c>
    </row>
    <row r="85" spans="1:8" x14ac:dyDescent="0.35">
      <c r="A85" t="s">
        <v>2263</v>
      </c>
      <c r="B85" t="s">
        <v>2190</v>
      </c>
      <c r="C85" t="s">
        <v>2102</v>
      </c>
      <c r="D85" t="s">
        <v>2169</v>
      </c>
      <c r="E85" t="s">
        <v>2170</v>
      </c>
      <c r="F85" t="s">
        <v>2092</v>
      </c>
      <c r="G85" t="s">
        <v>2171</v>
      </c>
      <c r="H85">
        <v>272</v>
      </c>
    </row>
    <row r="86" spans="1:8" x14ac:dyDescent="0.35">
      <c r="A86" t="s">
        <v>2103</v>
      </c>
      <c r="B86" t="s">
        <v>2157</v>
      </c>
      <c r="C86" t="s">
        <v>2112</v>
      </c>
      <c r="D86" t="s">
        <v>2135</v>
      </c>
      <c r="E86" t="s">
        <v>2217</v>
      </c>
      <c r="F86" t="s">
        <v>2092</v>
      </c>
      <c r="G86" t="s">
        <v>2213</v>
      </c>
      <c r="H86">
        <v>273</v>
      </c>
    </row>
    <row r="87" spans="1:8" x14ac:dyDescent="0.35">
      <c r="A87" t="s">
        <v>2264</v>
      </c>
      <c r="B87" t="s">
        <v>2125</v>
      </c>
      <c r="C87" t="s">
        <v>2112</v>
      </c>
      <c r="D87" t="s">
        <v>2103</v>
      </c>
      <c r="E87" t="s">
        <v>2265</v>
      </c>
      <c r="F87" t="s">
        <v>2092</v>
      </c>
      <c r="G87" t="s">
        <v>2213</v>
      </c>
      <c r="H87">
        <v>274</v>
      </c>
    </row>
    <row r="88" spans="1:8" x14ac:dyDescent="0.35">
      <c r="A88" t="s">
        <v>2266</v>
      </c>
      <c r="B88" t="s">
        <v>2122</v>
      </c>
      <c r="C88" t="s">
        <v>2112</v>
      </c>
      <c r="D88" t="s">
        <v>2113</v>
      </c>
      <c r="E88" t="s">
        <v>2123</v>
      </c>
      <c r="F88" t="s">
        <v>2092</v>
      </c>
      <c r="G88" t="s">
        <v>2115</v>
      </c>
      <c r="H88">
        <v>275</v>
      </c>
    </row>
    <row r="89" spans="1:8" x14ac:dyDescent="0.35">
      <c r="A89" t="s">
        <v>2267</v>
      </c>
      <c r="B89" t="s">
        <v>2151</v>
      </c>
      <c r="C89" t="s">
        <v>2096</v>
      </c>
      <c r="D89" t="s">
        <v>2103</v>
      </c>
      <c r="E89" t="s">
        <v>2268</v>
      </c>
      <c r="F89" t="s">
        <v>2092</v>
      </c>
      <c r="G89" t="s">
        <v>2184</v>
      </c>
      <c r="H89">
        <v>276</v>
      </c>
    </row>
    <row r="90" spans="1:8" x14ac:dyDescent="0.35">
      <c r="A90" t="s">
        <v>2269</v>
      </c>
      <c r="B90" t="s">
        <v>2166</v>
      </c>
      <c r="C90" t="s">
        <v>2089</v>
      </c>
      <c r="D90" t="s">
        <v>2090</v>
      </c>
      <c r="E90" t="s">
        <v>2146</v>
      </c>
      <c r="F90" t="s">
        <v>2092</v>
      </c>
      <c r="G90" t="s">
        <v>2093</v>
      </c>
      <c r="H90">
        <v>277</v>
      </c>
    </row>
    <row r="91" spans="1:8" x14ac:dyDescent="0.35">
      <c r="A91" t="s">
        <v>2270</v>
      </c>
      <c r="B91" t="s">
        <v>2151</v>
      </c>
      <c r="C91" t="s">
        <v>2096</v>
      </c>
      <c r="D91" t="s">
        <v>2152</v>
      </c>
      <c r="E91" t="s">
        <v>2104</v>
      </c>
      <c r="F91" t="s">
        <v>2092</v>
      </c>
      <c r="G91" t="s">
        <v>2147</v>
      </c>
      <c r="H91">
        <v>278</v>
      </c>
    </row>
    <row r="92" spans="1:8" x14ac:dyDescent="0.35">
      <c r="A92" t="s">
        <v>2271</v>
      </c>
      <c r="B92" t="s">
        <v>2272</v>
      </c>
      <c r="C92" t="s">
        <v>2112</v>
      </c>
      <c r="D92" t="s">
        <v>2126</v>
      </c>
      <c r="E92" t="s">
        <v>2273</v>
      </c>
      <c r="F92" t="s">
        <v>2092</v>
      </c>
      <c r="G92" t="s">
        <v>2120</v>
      </c>
      <c r="H92">
        <v>279</v>
      </c>
    </row>
    <row r="93" spans="1:8" x14ac:dyDescent="0.35">
      <c r="A93" t="s">
        <v>2274</v>
      </c>
      <c r="B93" t="s">
        <v>2166</v>
      </c>
      <c r="C93" t="s">
        <v>2089</v>
      </c>
      <c r="D93" t="s">
        <v>2090</v>
      </c>
      <c r="E93" t="s">
        <v>2146</v>
      </c>
      <c r="F93" t="s">
        <v>2092</v>
      </c>
      <c r="G93" t="s">
        <v>2147</v>
      </c>
      <c r="H93">
        <v>280</v>
      </c>
    </row>
    <row r="94" spans="1:8" x14ac:dyDescent="0.35">
      <c r="A94" t="s">
        <v>2275</v>
      </c>
      <c r="B94" t="s">
        <v>2101</v>
      </c>
      <c r="C94" t="s">
        <v>2102</v>
      </c>
      <c r="D94" t="s">
        <v>2130</v>
      </c>
      <c r="E94" t="s">
        <v>2104</v>
      </c>
      <c r="F94" t="s">
        <v>2092</v>
      </c>
      <c r="G94" t="s">
        <v>2093</v>
      </c>
      <c r="H94">
        <v>281</v>
      </c>
    </row>
    <row r="95" spans="1:8" x14ac:dyDescent="0.35">
      <c r="A95" t="s">
        <v>2276</v>
      </c>
      <c r="B95" t="s">
        <v>2160</v>
      </c>
      <c r="C95" t="s">
        <v>2096</v>
      </c>
      <c r="D95" t="s">
        <v>2097</v>
      </c>
      <c r="E95" t="s">
        <v>2142</v>
      </c>
      <c r="F95" t="s">
        <v>2092</v>
      </c>
      <c r="G95" t="s">
        <v>2099</v>
      </c>
      <c r="H95">
        <v>343</v>
      </c>
    </row>
    <row r="96" spans="1:8" x14ac:dyDescent="0.35">
      <c r="A96" t="s">
        <v>2277</v>
      </c>
      <c r="B96" t="s">
        <v>2272</v>
      </c>
      <c r="C96" t="s">
        <v>2112</v>
      </c>
      <c r="D96" t="s">
        <v>2169</v>
      </c>
      <c r="E96" t="s">
        <v>2215</v>
      </c>
      <c r="F96" t="s">
        <v>2092</v>
      </c>
      <c r="G96" t="s">
        <v>2171</v>
      </c>
      <c r="H96">
        <v>282</v>
      </c>
    </row>
    <row r="97" spans="1:8" x14ac:dyDescent="0.35">
      <c r="A97" t="s">
        <v>2152</v>
      </c>
      <c r="B97" t="s">
        <v>2278</v>
      </c>
      <c r="C97" t="s">
        <v>2096</v>
      </c>
      <c r="D97" t="s">
        <v>2216</v>
      </c>
      <c r="E97" t="s">
        <v>2236</v>
      </c>
      <c r="F97" t="s">
        <v>2092</v>
      </c>
      <c r="G97" t="s">
        <v>2213</v>
      </c>
      <c r="H97">
        <v>284</v>
      </c>
    </row>
    <row r="98" spans="1:8" x14ac:dyDescent="0.35">
      <c r="A98" t="s">
        <v>2279</v>
      </c>
      <c r="B98" t="s">
        <v>2101</v>
      </c>
      <c r="C98" t="s">
        <v>2102</v>
      </c>
      <c r="D98" t="s">
        <v>2130</v>
      </c>
      <c r="E98" t="s">
        <v>2104</v>
      </c>
      <c r="F98" t="s">
        <v>2092</v>
      </c>
      <c r="G98" t="s">
        <v>2147</v>
      </c>
      <c r="H98">
        <v>285</v>
      </c>
    </row>
    <row r="99" spans="1:8" x14ac:dyDescent="0.35">
      <c r="A99" t="s">
        <v>2280</v>
      </c>
      <c r="B99" t="s">
        <v>2151</v>
      </c>
      <c r="C99" t="s">
        <v>2096</v>
      </c>
      <c r="D99" t="s">
        <v>2113</v>
      </c>
      <c r="E99" t="s">
        <v>2167</v>
      </c>
      <c r="F99" t="s">
        <v>2092</v>
      </c>
      <c r="G99" t="s">
        <v>2115</v>
      </c>
      <c r="H99">
        <v>286</v>
      </c>
    </row>
    <row r="100" spans="1:8" x14ac:dyDescent="0.35">
      <c r="A100" t="s">
        <v>2281</v>
      </c>
      <c r="B100" t="s">
        <v>2117</v>
      </c>
      <c r="C100" t="s">
        <v>2112</v>
      </c>
      <c r="D100" t="s">
        <v>2282</v>
      </c>
      <c r="E100" t="s">
        <v>2283</v>
      </c>
      <c r="F100" t="s">
        <v>2092</v>
      </c>
      <c r="G100" t="s">
        <v>2284</v>
      </c>
      <c r="H100">
        <v>287</v>
      </c>
    </row>
    <row r="101" spans="1:8" x14ac:dyDescent="0.35">
      <c r="A101" t="s">
        <v>2285</v>
      </c>
      <c r="B101" t="s">
        <v>2166</v>
      </c>
      <c r="C101" t="s">
        <v>2089</v>
      </c>
      <c r="D101" t="s">
        <v>2090</v>
      </c>
      <c r="E101" t="s">
        <v>2091</v>
      </c>
      <c r="F101" t="s">
        <v>2092</v>
      </c>
      <c r="G101" t="s">
        <v>2093</v>
      </c>
      <c r="H101">
        <v>288</v>
      </c>
    </row>
    <row r="102" spans="1:8" x14ac:dyDescent="0.35">
      <c r="A102" t="s">
        <v>2286</v>
      </c>
      <c r="B102" t="s">
        <v>2125</v>
      </c>
      <c r="C102" t="s">
        <v>2112</v>
      </c>
      <c r="D102" t="s">
        <v>2287</v>
      </c>
      <c r="E102" t="s">
        <v>2288</v>
      </c>
      <c r="F102" t="s">
        <v>2092</v>
      </c>
      <c r="G102" t="s">
        <v>2284</v>
      </c>
      <c r="H102">
        <v>289</v>
      </c>
    </row>
    <row r="103" spans="1:8" x14ac:dyDescent="0.35">
      <c r="A103" t="s">
        <v>2289</v>
      </c>
      <c r="B103" t="s">
        <v>2125</v>
      </c>
      <c r="C103" t="s">
        <v>2112</v>
      </c>
      <c r="D103" t="s">
        <v>2221</v>
      </c>
      <c r="E103" t="s">
        <v>2290</v>
      </c>
      <c r="F103" t="s">
        <v>2092</v>
      </c>
      <c r="G103" t="s">
        <v>2223</v>
      </c>
      <c r="H103">
        <v>290</v>
      </c>
    </row>
    <row r="104" spans="1:8" x14ac:dyDescent="0.35">
      <c r="A104" t="s">
        <v>2118</v>
      </c>
      <c r="B104" t="s">
        <v>2291</v>
      </c>
      <c r="C104" t="s">
        <v>2112</v>
      </c>
      <c r="D104" t="s">
        <v>2135</v>
      </c>
      <c r="E104" t="s">
        <v>2292</v>
      </c>
      <c r="F104" t="s">
        <v>2092</v>
      </c>
      <c r="G104" t="s">
        <v>2120</v>
      </c>
      <c r="H104">
        <v>291</v>
      </c>
    </row>
    <row r="105" spans="1:8" x14ac:dyDescent="0.35">
      <c r="A105" t="s">
        <v>2293</v>
      </c>
      <c r="B105" t="s">
        <v>2109</v>
      </c>
      <c r="C105" t="s">
        <v>2089</v>
      </c>
      <c r="D105" t="s">
        <v>2097</v>
      </c>
      <c r="E105" t="s">
        <v>2142</v>
      </c>
      <c r="F105" t="s">
        <v>2092</v>
      </c>
      <c r="G105" t="s">
        <v>2099</v>
      </c>
      <c r="H105">
        <v>292</v>
      </c>
    </row>
    <row r="106" spans="1:8" x14ac:dyDescent="0.35">
      <c r="A106" t="s">
        <v>2294</v>
      </c>
      <c r="B106" t="s">
        <v>2295</v>
      </c>
      <c r="C106" t="s">
        <v>2112</v>
      </c>
      <c r="D106" t="s">
        <v>2113</v>
      </c>
      <c r="E106" t="s">
        <v>2296</v>
      </c>
      <c r="F106" t="s">
        <v>2092</v>
      </c>
      <c r="G106" t="s">
        <v>2115</v>
      </c>
      <c r="H106">
        <v>293</v>
      </c>
    </row>
    <row r="107" spans="1:8" x14ac:dyDescent="0.35">
      <c r="A107" t="s">
        <v>2297</v>
      </c>
      <c r="B107" t="s">
        <v>2111</v>
      </c>
      <c r="C107" t="s">
        <v>2112</v>
      </c>
      <c r="D107" t="s">
        <v>2118</v>
      </c>
      <c r="E107" t="s">
        <v>2298</v>
      </c>
      <c r="F107" t="s">
        <v>2092</v>
      </c>
      <c r="G107" t="s">
        <v>2120</v>
      </c>
      <c r="H107">
        <v>294</v>
      </c>
    </row>
    <row r="108" spans="1:8" x14ac:dyDescent="0.35">
      <c r="A108" t="s">
        <v>2299</v>
      </c>
      <c r="B108" t="s">
        <v>2101</v>
      </c>
      <c r="C108" t="s">
        <v>2102</v>
      </c>
      <c r="D108" t="s">
        <v>2103</v>
      </c>
      <c r="E108" t="s">
        <v>2091</v>
      </c>
      <c r="F108" t="s">
        <v>2092</v>
      </c>
      <c r="G108" t="s">
        <v>2184</v>
      </c>
      <c r="H108">
        <v>295</v>
      </c>
    </row>
    <row r="109" spans="1:8" x14ac:dyDescent="0.35">
      <c r="A109" t="s">
        <v>2300</v>
      </c>
      <c r="B109" t="s">
        <v>2301</v>
      </c>
      <c r="C109" t="s">
        <v>2089</v>
      </c>
      <c r="D109" t="s">
        <v>2113</v>
      </c>
      <c r="E109" t="s">
        <v>2302</v>
      </c>
      <c r="F109" t="s">
        <v>2092</v>
      </c>
      <c r="G109" t="s">
        <v>2115</v>
      </c>
      <c r="H109">
        <v>296</v>
      </c>
    </row>
    <row r="110" spans="1:8" x14ac:dyDescent="0.35">
      <c r="A110" t="s">
        <v>2221</v>
      </c>
      <c r="B110" t="s">
        <v>2174</v>
      </c>
      <c r="C110" t="s">
        <v>2112</v>
      </c>
      <c r="D110" t="s">
        <v>2135</v>
      </c>
      <c r="E110" t="s">
        <v>2303</v>
      </c>
      <c r="F110" t="s">
        <v>2092</v>
      </c>
      <c r="G110" t="s">
        <v>2223</v>
      </c>
      <c r="H110">
        <v>297</v>
      </c>
    </row>
    <row r="111" spans="1:8" x14ac:dyDescent="0.35">
      <c r="A111" t="s">
        <v>2304</v>
      </c>
      <c r="B111" t="s">
        <v>2212</v>
      </c>
      <c r="C111" t="s">
        <v>2112</v>
      </c>
      <c r="D111" t="s">
        <v>2216</v>
      </c>
      <c r="E111" t="s">
        <v>2123</v>
      </c>
      <c r="F111" t="s">
        <v>2092</v>
      </c>
      <c r="G111" t="s">
        <v>2213</v>
      </c>
      <c r="H111">
        <v>298</v>
      </c>
    </row>
    <row r="112" spans="1:8" x14ac:dyDescent="0.35">
      <c r="A112" t="s">
        <v>2305</v>
      </c>
      <c r="B112" t="s">
        <v>2231</v>
      </c>
      <c r="C112" t="s">
        <v>2112</v>
      </c>
      <c r="D112" t="s">
        <v>2113</v>
      </c>
      <c r="E112" t="s">
        <v>2232</v>
      </c>
      <c r="F112" t="s">
        <v>2092</v>
      </c>
      <c r="G112" t="s">
        <v>2115</v>
      </c>
      <c r="H112">
        <v>347</v>
      </c>
    </row>
    <row r="113" spans="1:8" x14ac:dyDescent="0.35">
      <c r="A113" t="s">
        <v>2306</v>
      </c>
      <c r="B113" t="s">
        <v>2122</v>
      </c>
      <c r="C113" t="s">
        <v>2112</v>
      </c>
      <c r="D113" t="s">
        <v>2246</v>
      </c>
      <c r="E113" t="s">
        <v>2123</v>
      </c>
      <c r="F113" t="s">
        <v>2092</v>
      </c>
      <c r="G113" t="s">
        <v>2248</v>
      </c>
      <c r="H113">
        <v>348</v>
      </c>
    </row>
    <row r="114" spans="1:8" x14ac:dyDescent="0.35">
      <c r="A114" t="s">
        <v>2307</v>
      </c>
      <c r="B114" t="s">
        <v>2109</v>
      </c>
      <c r="C114" t="s">
        <v>2089</v>
      </c>
      <c r="D114" t="s">
        <v>2097</v>
      </c>
      <c r="E114" t="s">
        <v>2098</v>
      </c>
      <c r="F114" t="s">
        <v>2092</v>
      </c>
      <c r="G114" t="s">
        <v>2099</v>
      </c>
      <c r="H114">
        <v>299</v>
      </c>
    </row>
    <row r="115" spans="1:8" x14ac:dyDescent="0.35">
      <c r="A115" t="s">
        <v>2308</v>
      </c>
      <c r="B115" t="s">
        <v>2309</v>
      </c>
      <c r="C115" t="s">
        <v>2096</v>
      </c>
      <c r="D115" t="s">
        <v>2097</v>
      </c>
      <c r="E115" t="s">
        <v>2098</v>
      </c>
      <c r="F115" t="s">
        <v>2092</v>
      </c>
      <c r="G115" t="s">
        <v>2099</v>
      </c>
      <c r="H115">
        <v>313</v>
      </c>
    </row>
    <row r="116" spans="1:8" x14ac:dyDescent="0.35">
      <c r="A116" t="s">
        <v>2310</v>
      </c>
      <c r="B116" t="s">
        <v>2101</v>
      </c>
      <c r="C116" t="s">
        <v>2102</v>
      </c>
      <c r="D116" t="s">
        <v>2130</v>
      </c>
      <c r="E116" t="s">
        <v>2091</v>
      </c>
      <c r="F116" t="s">
        <v>2092</v>
      </c>
      <c r="G116" t="s">
        <v>2093</v>
      </c>
      <c r="H116">
        <v>300</v>
      </c>
    </row>
    <row r="117" spans="1:8" x14ac:dyDescent="0.35">
      <c r="A117" t="s">
        <v>2311</v>
      </c>
      <c r="B117" t="s">
        <v>2088</v>
      </c>
      <c r="C117" t="s">
        <v>2089</v>
      </c>
      <c r="D117" t="s">
        <v>2103</v>
      </c>
      <c r="E117" t="s">
        <v>2193</v>
      </c>
      <c r="F117" t="s">
        <v>2092</v>
      </c>
      <c r="G117" t="s">
        <v>2194</v>
      </c>
      <c r="H117">
        <v>301</v>
      </c>
    </row>
    <row r="118" spans="1:8" x14ac:dyDescent="0.35">
      <c r="A118" t="s">
        <v>2312</v>
      </c>
      <c r="B118" t="s">
        <v>2313</v>
      </c>
      <c r="C118" t="s">
        <v>2112</v>
      </c>
      <c r="D118" t="s">
        <v>2221</v>
      </c>
      <c r="E118" t="s">
        <v>2232</v>
      </c>
      <c r="F118" t="s">
        <v>2092</v>
      </c>
      <c r="G118" t="s">
        <v>2223</v>
      </c>
      <c r="H118">
        <v>302</v>
      </c>
    </row>
    <row r="119" spans="1:8" x14ac:dyDescent="0.35">
      <c r="A119" t="s">
        <v>2314</v>
      </c>
      <c r="B119" t="s">
        <v>2154</v>
      </c>
      <c r="C119" t="s">
        <v>2102</v>
      </c>
      <c r="D119" t="s">
        <v>2097</v>
      </c>
      <c r="E119" t="s">
        <v>2142</v>
      </c>
      <c r="F119" t="s">
        <v>2092</v>
      </c>
      <c r="G119" t="s">
        <v>2099</v>
      </c>
      <c r="H119">
        <v>304</v>
      </c>
    </row>
    <row r="120" spans="1:8" x14ac:dyDescent="0.35">
      <c r="A120" t="s">
        <v>2315</v>
      </c>
      <c r="B120" t="s">
        <v>2151</v>
      </c>
      <c r="C120" t="s">
        <v>2096</v>
      </c>
      <c r="D120" t="s">
        <v>2152</v>
      </c>
      <c r="E120" t="s">
        <v>2104</v>
      </c>
      <c r="F120" t="s">
        <v>2092</v>
      </c>
      <c r="G120" t="s">
        <v>2147</v>
      </c>
      <c r="H120">
        <v>305</v>
      </c>
    </row>
    <row r="121" spans="1:8" x14ac:dyDescent="0.35">
      <c r="A121" t="s">
        <v>2316</v>
      </c>
      <c r="B121" t="s">
        <v>2122</v>
      </c>
      <c r="C121" t="s">
        <v>2112</v>
      </c>
      <c r="D121" t="s">
        <v>2205</v>
      </c>
      <c r="E121" t="s">
        <v>2123</v>
      </c>
      <c r="F121" t="s">
        <v>2092</v>
      </c>
      <c r="G121" t="s">
        <v>2208</v>
      </c>
      <c r="H121">
        <v>306</v>
      </c>
    </row>
    <row r="122" spans="1:8" x14ac:dyDescent="0.35">
      <c r="A122" t="s">
        <v>2317</v>
      </c>
      <c r="B122" t="s">
        <v>2129</v>
      </c>
      <c r="C122" t="s">
        <v>2102</v>
      </c>
      <c r="D122" t="s">
        <v>2130</v>
      </c>
      <c r="E122" t="s">
        <v>2146</v>
      </c>
      <c r="F122" t="s">
        <v>2092</v>
      </c>
      <c r="G122" t="s">
        <v>2093</v>
      </c>
      <c r="H122">
        <v>307</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619B-3D52-4A6C-B394-4D76061A1375}">
  <sheetPr codeName="Planilha9"/>
  <dimension ref="A1:G157"/>
  <sheetViews>
    <sheetView zoomScale="85" zoomScaleNormal="85" workbookViewId="0">
      <selection activeCell="B4" sqref="B4"/>
    </sheetView>
  </sheetViews>
  <sheetFormatPr defaultRowHeight="14.5" x14ac:dyDescent="0.35"/>
  <cols>
    <col min="1" max="1" width="30.26953125" bestFit="1" customWidth="1"/>
    <col min="2" max="2" width="34.54296875" bestFit="1" customWidth="1"/>
    <col min="3" max="3" width="9.81640625" bestFit="1" customWidth="1"/>
    <col min="4" max="4" width="34.81640625" bestFit="1" customWidth="1"/>
    <col min="5" max="5" width="16.26953125" bestFit="1" customWidth="1"/>
    <col min="6" max="6" width="42" bestFit="1" customWidth="1"/>
    <col min="7" max="7" width="14.1796875" style="12" bestFit="1" customWidth="1"/>
  </cols>
  <sheetData>
    <row r="1" spans="1:7" x14ac:dyDescent="0.35">
      <c r="A1" s="23" t="s">
        <v>2318</v>
      </c>
      <c r="B1" s="24" t="s">
        <v>2079</v>
      </c>
      <c r="C1" s="24" t="s">
        <v>2319</v>
      </c>
      <c r="D1" s="24" t="s">
        <v>2320</v>
      </c>
      <c r="E1" s="25" t="s">
        <v>2321</v>
      </c>
      <c r="F1" s="25" t="s">
        <v>2082</v>
      </c>
      <c r="G1" s="47" t="s">
        <v>2322</v>
      </c>
    </row>
    <row r="2" spans="1:7" x14ac:dyDescent="0.35">
      <c r="A2" s="34" t="s">
        <v>53</v>
      </c>
      <c r="B2" s="31" t="s">
        <v>2150</v>
      </c>
      <c r="C2" s="28" t="s">
        <v>1995</v>
      </c>
      <c r="D2" s="31" t="s">
        <v>2104</v>
      </c>
      <c r="E2" s="29" t="s">
        <v>2323</v>
      </c>
      <c r="F2" s="46" t="s">
        <v>2152</v>
      </c>
      <c r="G2" s="48" t="s">
        <v>2092</v>
      </c>
    </row>
    <row r="3" spans="1:7" x14ac:dyDescent="0.35">
      <c r="A3" s="26" t="s">
        <v>1688</v>
      </c>
      <c r="B3" s="27" t="s">
        <v>2094</v>
      </c>
      <c r="C3" s="28" t="s">
        <v>1994</v>
      </c>
      <c r="D3" s="27" t="s">
        <v>2098</v>
      </c>
      <c r="E3" s="29" t="s">
        <v>2099</v>
      </c>
      <c r="F3" s="46" t="s">
        <v>2097</v>
      </c>
      <c r="G3" s="48" t="s">
        <v>2092</v>
      </c>
    </row>
    <row r="4" spans="1:7" x14ac:dyDescent="0.35">
      <c r="A4" s="33" t="s">
        <v>571</v>
      </c>
      <c r="B4" s="31" t="s">
        <v>2172</v>
      </c>
      <c r="C4" s="28" t="s">
        <v>1995</v>
      </c>
      <c r="D4" s="31" t="s">
        <v>2091</v>
      </c>
      <c r="E4" s="29" t="s">
        <v>2323</v>
      </c>
      <c r="F4" s="46" t="s">
        <v>2090</v>
      </c>
      <c r="G4" s="48" t="s">
        <v>2092</v>
      </c>
    </row>
    <row r="5" spans="1:7" hidden="1" x14ac:dyDescent="0.35">
      <c r="A5" s="30" t="s">
        <v>2024</v>
      </c>
      <c r="B5" s="27" t="s">
        <v>2324</v>
      </c>
      <c r="C5" s="28" t="s">
        <v>1995</v>
      </c>
      <c r="D5" s="27" t="s">
        <v>2170</v>
      </c>
      <c r="E5" s="29" t="s">
        <v>2171</v>
      </c>
      <c r="F5" s="46" t="s">
        <v>2169</v>
      </c>
      <c r="G5" s="48" t="s">
        <v>2325</v>
      </c>
    </row>
    <row r="6" spans="1:7" x14ac:dyDescent="0.35">
      <c r="A6" s="30" t="s">
        <v>483</v>
      </c>
      <c r="B6" s="31" t="s">
        <v>2106</v>
      </c>
      <c r="C6" s="28" t="s">
        <v>1994</v>
      </c>
      <c r="D6" s="31" t="s">
        <v>2107</v>
      </c>
      <c r="E6" s="29" t="s">
        <v>2099</v>
      </c>
      <c r="F6" s="46" t="s">
        <v>2097</v>
      </c>
      <c r="G6" s="48" t="s">
        <v>2092</v>
      </c>
    </row>
    <row r="7" spans="1:7" x14ac:dyDescent="0.35">
      <c r="A7" s="32" t="s">
        <v>2025</v>
      </c>
      <c r="B7" s="31" t="s">
        <v>2108</v>
      </c>
      <c r="C7" s="28" t="s">
        <v>1994</v>
      </c>
      <c r="D7" s="31" t="s">
        <v>2098</v>
      </c>
      <c r="E7" s="29" t="s">
        <v>2099</v>
      </c>
      <c r="F7" s="46" t="s">
        <v>2097</v>
      </c>
      <c r="G7" s="48" t="s">
        <v>2092</v>
      </c>
    </row>
    <row r="8" spans="1:7" x14ac:dyDescent="0.35">
      <c r="A8" s="26" t="s">
        <v>1600</v>
      </c>
      <c r="B8" s="27" t="s">
        <v>2110</v>
      </c>
      <c r="C8" s="28" t="s">
        <v>1994</v>
      </c>
      <c r="D8" s="27" t="s">
        <v>2114</v>
      </c>
      <c r="E8" s="29" t="s">
        <v>2115</v>
      </c>
      <c r="F8" s="46" t="s">
        <v>2326</v>
      </c>
      <c r="G8" s="48" t="s">
        <v>2092</v>
      </c>
    </row>
    <row r="9" spans="1:7" x14ac:dyDescent="0.35">
      <c r="A9" s="26" t="s">
        <v>108</v>
      </c>
      <c r="B9" s="31" t="s">
        <v>2116</v>
      </c>
      <c r="C9" s="28" t="s">
        <v>1994</v>
      </c>
      <c r="D9" s="31" t="s">
        <v>2119</v>
      </c>
      <c r="E9" s="29" t="s">
        <v>2120</v>
      </c>
      <c r="F9" s="46" t="s">
        <v>2118</v>
      </c>
      <c r="G9" s="48" t="s">
        <v>2092</v>
      </c>
    </row>
    <row r="10" spans="1:7" x14ac:dyDescent="0.35">
      <c r="A10" s="33" t="s">
        <v>78</v>
      </c>
      <c r="B10" s="31" t="s">
        <v>2124</v>
      </c>
      <c r="C10" s="28" t="s">
        <v>1994</v>
      </c>
      <c r="D10" s="31" t="s">
        <v>2119</v>
      </c>
      <c r="E10" s="29" t="s">
        <v>2099</v>
      </c>
      <c r="F10" s="46" t="s">
        <v>2126</v>
      </c>
      <c r="G10" s="48" t="s">
        <v>2092</v>
      </c>
    </row>
    <row r="11" spans="1:7" x14ac:dyDescent="0.35">
      <c r="A11" s="33" t="s">
        <v>427</v>
      </c>
      <c r="B11" s="27" t="s">
        <v>2173</v>
      </c>
      <c r="C11" s="28" t="s">
        <v>1995</v>
      </c>
      <c r="D11" s="27" t="s">
        <v>2104</v>
      </c>
      <c r="E11" s="29" t="s">
        <v>2074</v>
      </c>
      <c r="F11" s="46" t="s">
        <v>2103</v>
      </c>
      <c r="G11" s="48" t="s">
        <v>2092</v>
      </c>
    </row>
    <row r="12" spans="1:7" x14ac:dyDescent="0.35">
      <c r="A12" s="26" t="s">
        <v>2026</v>
      </c>
      <c r="B12" s="31" t="s">
        <v>2131</v>
      </c>
      <c r="C12" s="28" t="s">
        <v>1994</v>
      </c>
      <c r="D12" s="31" t="s">
        <v>2119</v>
      </c>
      <c r="E12" s="29" t="s">
        <v>2099</v>
      </c>
      <c r="F12" s="46" t="s">
        <v>2126</v>
      </c>
      <c r="G12" s="48" t="s">
        <v>2092</v>
      </c>
    </row>
    <row r="13" spans="1:7" x14ac:dyDescent="0.35">
      <c r="A13" s="33" t="s">
        <v>97</v>
      </c>
      <c r="B13" s="31" t="s">
        <v>2134</v>
      </c>
      <c r="C13" s="28" t="s">
        <v>1994</v>
      </c>
      <c r="D13" s="31" t="s">
        <v>2136</v>
      </c>
      <c r="E13" s="29" t="s">
        <v>2137</v>
      </c>
      <c r="F13" s="46" t="s">
        <v>2135</v>
      </c>
      <c r="G13" s="48" t="s">
        <v>2092</v>
      </c>
    </row>
    <row r="14" spans="1:7" x14ac:dyDescent="0.35">
      <c r="A14" s="34" t="s">
        <v>2027</v>
      </c>
      <c r="B14" s="27" t="s">
        <v>2138</v>
      </c>
      <c r="C14" s="28" t="s">
        <v>1994</v>
      </c>
      <c r="D14" s="27" t="s">
        <v>2123</v>
      </c>
      <c r="E14" s="29" t="s">
        <v>2115</v>
      </c>
      <c r="F14" s="46" t="s">
        <v>2326</v>
      </c>
      <c r="G14" s="48" t="s">
        <v>2092</v>
      </c>
    </row>
    <row r="15" spans="1:7" hidden="1" x14ac:dyDescent="0.35">
      <c r="A15" s="33" t="s">
        <v>2042</v>
      </c>
      <c r="B15" s="27" t="s">
        <v>2327</v>
      </c>
      <c r="C15" s="28" t="s">
        <v>1995</v>
      </c>
      <c r="D15" s="27" t="s">
        <v>2146</v>
      </c>
      <c r="E15" s="29" t="s">
        <v>2184</v>
      </c>
      <c r="F15" s="46" t="s">
        <v>2103</v>
      </c>
      <c r="G15" s="48" t="s">
        <v>2325</v>
      </c>
    </row>
    <row r="16" spans="1:7" x14ac:dyDescent="0.35">
      <c r="A16" s="33" t="s">
        <v>82</v>
      </c>
      <c r="B16" s="31" t="s">
        <v>2143</v>
      </c>
      <c r="C16" s="28" t="s">
        <v>1994</v>
      </c>
      <c r="D16" s="31" t="s">
        <v>2144</v>
      </c>
      <c r="E16" s="29" t="s">
        <v>2099</v>
      </c>
      <c r="F16" s="46" t="s">
        <v>2126</v>
      </c>
      <c r="G16" s="48" t="s">
        <v>2092</v>
      </c>
    </row>
    <row r="17" spans="1:7" x14ac:dyDescent="0.35">
      <c r="A17" s="35" t="s">
        <v>150</v>
      </c>
      <c r="B17" s="31" t="s">
        <v>2196</v>
      </c>
      <c r="C17" s="28" t="s">
        <v>1995</v>
      </c>
      <c r="D17" s="31" t="s">
        <v>2193</v>
      </c>
      <c r="E17" s="29" t="s">
        <v>2194</v>
      </c>
      <c r="F17" s="46" t="s">
        <v>2103</v>
      </c>
      <c r="G17" s="48" t="s">
        <v>2092</v>
      </c>
    </row>
    <row r="18" spans="1:7" x14ac:dyDescent="0.35">
      <c r="A18" s="33" t="s">
        <v>69</v>
      </c>
      <c r="B18" s="27" t="s">
        <v>2148</v>
      </c>
      <c r="C18" s="28" t="s">
        <v>1994</v>
      </c>
      <c r="D18" s="27" t="s">
        <v>2149</v>
      </c>
      <c r="E18" s="29" t="s">
        <v>2099</v>
      </c>
      <c r="F18" s="46" t="s">
        <v>2126</v>
      </c>
      <c r="G18" s="48" t="s">
        <v>2092</v>
      </c>
    </row>
    <row r="19" spans="1:7" x14ac:dyDescent="0.35">
      <c r="A19" s="33" t="s">
        <v>23</v>
      </c>
      <c r="B19" s="31" t="s">
        <v>2204</v>
      </c>
      <c r="C19" s="28" t="s">
        <v>1995</v>
      </c>
      <c r="D19" s="31" t="s">
        <v>2104</v>
      </c>
      <c r="E19" s="29" t="s">
        <v>2323</v>
      </c>
      <c r="F19" s="46" t="s">
        <v>2103</v>
      </c>
      <c r="G19" s="48" t="s">
        <v>2092</v>
      </c>
    </row>
    <row r="20" spans="1:7" hidden="1" x14ac:dyDescent="0.35">
      <c r="A20" s="26" t="s">
        <v>65</v>
      </c>
      <c r="B20" s="31" t="s">
        <v>2328</v>
      </c>
      <c r="C20" s="28" t="s">
        <v>1994</v>
      </c>
      <c r="D20" s="31" t="s">
        <v>2158</v>
      </c>
      <c r="E20" s="29" t="s">
        <v>2115</v>
      </c>
      <c r="F20" s="46" t="s">
        <v>2329</v>
      </c>
      <c r="G20" s="48" t="s">
        <v>2325</v>
      </c>
    </row>
    <row r="21" spans="1:7" x14ac:dyDescent="0.35">
      <c r="A21" s="26" t="s">
        <v>85</v>
      </c>
      <c r="B21" s="31" t="s">
        <v>2153</v>
      </c>
      <c r="C21" s="28" t="s">
        <v>1994</v>
      </c>
      <c r="D21" s="31" t="s">
        <v>2098</v>
      </c>
      <c r="E21" s="29" t="s">
        <v>2099</v>
      </c>
      <c r="F21" s="46" t="s">
        <v>2097</v>
      </c>
      <c r="G21" s="48" t="s">
        <v>2092</v>
      </c>
    </row>
    <row r="22" spans="1:7" x14ac:dyDescent="0.35">
      <c r="A22" s="26" t="s">
        <v>277</v>
      </c>
      <c r="B22" s="31" t="s">
        <v>2330</v>
      </c>
      <c r="C22" s="28" t="s">
        <v>1995</v>
      </c>
      <c r="D22" s="31" t="s">
        <v>2193</v>
      </c>
      <c r="E22" s="29" t="s">
        <v>2194</v>
      </c>
      <c r="F22" s="46" t="s">
        <v>2103</v>
      </c>
      <c r="G22" s="48" t="s">
        <v>2092</v>
      </c>
    </row>
    <row r="23" spans="1:7" x14ac:dyDescent="0.35">
      <c r="A23" s="32" t="s">
        <v>1719</v>
      </c>
      <c r="B23" s="31" t="s">
        <v>2155</v>
      </c>
      <c r="C23" s="28" t="s">
        <v>1995</v>
      </c>
      <c r="D23" s="31" t="s">
        <v>2156</v>
      </c>
      <c r="E23" s="29" t="s">
        <v>2120</v>
      </c>
      <c r="F23" s="46" t="s">
        <v>2118</v>
      </c>
      <c r="G23" s="48" t="s">
        <v>2092</v>
      </c>
    </row>
    <row r="24" spans="1:7" x14ac:dyDescent="0.35">
      <c r="A24" s="35" t="s">
        <v>1646</v>
      </c>
      <c r="B24" s="31" t="s">
        <v>2113</v>
      </c>
      <c r="C24" s="28" t="s">
        <v>1994</v>
      </c>
      <c r="D24" s="31" t="s">
        <v>2331</v>
      </c>
      <c r="E24" s="29" t="s">
        <v>2332</v>
      </c>
      <c r="F24" s="46" t="s">
        <v>2135</v>
      </c>
      <c r="G24" s="48" t="s">
        <v>2092</v>
      </c>
    </row>
    <row r="25" spans="1:7" hidden="1" x14ac:dyDescent="0.35">
      <c r="A25" s="35" t="s">
        <v>2029</v>
      </c>
      <c r="B25" s="31" t="s">
        <v>2333</v>
      </c>
      <c r="C25" s="28" t="s">
        <v>1994</v>
      </c>
      <c r="D25" s="31" t="s">
        <v>2098</v>
      </c>
      <c r="E25" s="29" t="s">
        <v>2099</v>
      </c>
      <c r="F25" s="46" t="s">
        <v>2097</v>
      </c>
      <c r="G25" s="48" t="s">
        <v>2325</v>
      </c>
    </row>
    <row r="26" spans="1:7" x14ac:dyDescent="0.35">
      <c r="A26" s="35" t="s">
        <v>287</v>
      </c>
      <c r="B26" s="31" t="s">
        <v>2159</v>
      </c>
      <c r="C26" s="28" t="s">
        <v>1995</v>
      </c>
      <c r="D26" s="31" t="s">
        <v>2156</v>
      </c>
      <c r="E26" s="29" t="s">
        <v>2120</v>
      </c>
      <c r="F26" s="46" t="s">
        <v>2118</v>
      </c>
      <c r="G26" s="48" t="s">
        <v>2092</v>
      </c>
    </row>
    <row r="27" spans="1:7" x14ac:dyDescent="0.35">
      <c r="A27" s="35" t="s">
        <v>2030</v>
      </c>
      <c r="B27" s="31" t="s">
        <v>2161</v>
      </c>
      <c r="C27" s="28" t="s">
        <v>1995</v>
      </c>
      <c r="D27" s="31" t="s">
        <v>2164</v>
      </c>
      <c r="E27" s="29" t="s">
        <v>2137</v>
      </c>
      <c r="F27" s="46" t="s">
        <v>2134</v>
      </c>
      <c r="G27" s="48" t="s">
        <v>2092</v>
      </c>
    </row>
    <row r="28" spans="1:7" x14ac:dyDescent="0.35">
      <c r="A28" s="35" t="s">
        <v>2031</v>
      </c>
      <c r="B28" s="31" t="s">
        <v>2165</v>
      </c>
      <c r="C28" s="28" t="s">
        <v>1995</v>
      </c>
      <c r="D28" s="31" t="s">
        <v>2167</v>
      </c>
      <c r="E28" s="29" t="s">
        <v>2115</v>
      </c>
      <c r="F28" s="46" t="s">
        <v>2326</v>
      </c>
      <c r="G28" s="48" t="s">
        <v>2092</v>
      </c>
    </row>
    <row r="29" spans="1:7" x14ac:dyDescent="0.35">
      <c r="A29" s="26" t="s">
        <v>1525</v>
      </c>
      <c r="B29" s="27" t="s">
        <v>2168</v>
      </c>
      <c r="C29" s="28" t="s">
        <v>1995</v>
      </c>
      <c r="D29" s="27" t="s">
        <v>2170</v>
      </c>
      <c r="E29" s="29" t="s">
        <v>2171</v>
      </c>
      <c r="F29" s="46" t="s">
        <v>2169</v>
      </c>
      <c r="G29" s="48" t="s">
        <v>2092</v>
      </c>
    </row>
    <row r="30" spans="1:7" x14ac:dyDescent="0.35">
      <c r="A30" s="32" t="s">
        <v>2055</v>
      </c>
      <c r="B30" s="31" t="s">
        <v>2254</v>
      </c>
      <c r="C30" s="28" t="s">
        <v>1995</v>
      </c>
      <c r="D30" s="31" t="s">
        <v>2091</v>
      </c>
      <c r="E30" s="29" t="s">
        <v>2184</v>
      </c>
      <c r="F30" s="46" t="s">
        <v>2103</v>
      </c>
      <c r="G30" s="48" t="s">
        <v>2092</v>
      </c>
    </row>
    <row r="31" spans="1:7" hidden="1" x14ac:dyDescent="0.35">
      <c r="A31" s="32" t="s">
        <v>2334</v>
      </c>
      <c r="B31" s="31" t="s">
        <v>2335</v>
      </c>
      <c r="C31" s="28" t="s">
        <v>1994</v>
      </c>
      <c r="D31" s="31" t="s">
        <v>2098</v>
      </c>
      <c r="E31" s="29" t="s">
        <v>2099</v>
      </c>
      <c r="F31" s="46" t="s">
        <v>2097</v>
      </c>
      <c r="G31" s="48" t="s">
        <v>2325</v>
      </c>
    </row>
    <row r="32" spans="1:7" hidden="1" x14ac:dyDescent="0.35">
      <c r="A32" s="26" t="s">
        <v>2060</v>
      </c>
      <c r="B32" s="27" t="s">
        <v>2336</v>
      </c>
      <c r="C32" s="28" t="s">
        <v>1995</v>
      </c>
      <c r="D32" s="27" t="s">
        <v>2146</v>
      </c>
      <c r="E32" s="29" t="s">
        <v>2323</v>
      </c>
      <c r="F32" s="46" t="s">
        <v>2103</v>
      </c>
      <c r="G32" s="48" t="s">
        <v>2325</v>
      </c>
    </row>
    <row r="33" spans="1:7" x14ac:dyDescent="0.35">
      <c r="A33" s="26" t="s">
        <v>2034</v>
      </c>
      <c r="B33" s="31" t="s">
        <v>2135</v>
      </c>
      <c r="C33" s="28" t="s">
        <v>1994</v>
      </c>
      <c r="D33" s="31" t="s">
        <v>2176</v>
      </c>
      <c r="E33" s="29" t="s">
        <v>2177</v>
      </c>
      <c r="F33" s="46" t="s">
        <v>2175</v>
      </c>
      <c r="G33" s="48" t="s">
        <v>2092</v>
      </c>
    </row>
    <row r="34" spans="1:7" x14ac:dyDescent="0.35">
      <c r="A34" s="26" t="s">
        <v>2337</v>
      </c>
      <c r="B34" s="31" t="s">
        <v>2274</v>
      </c>
      <c r="C34" s="28" t="s">
        <v>1995</v>
      </c>
      <c r="D34" s="31" t="s">
        <v>2146</v>
      </c>
      <c r="E34" s="29" t="s">
        <v>2323</v>
      </c>
      <c r="F34" s="46" t="s">
        <v>2103</v>
      </c>
      <c r="G34" s="48" t="s">
        <v>2092</v>
      </c>
    </row>
    <row r="35" spans="1:7" x14ac:dyDescent="0.35">
      <c r="A35" s="26" t="s">
        <v>64</v>
      </c>
      <c r="B35" s="31" t="s">
        <v>2285</v>
      </c>
      <c r="C35" s="28" t="s">
        <v>1995</v>
      </c>
      <c r="D35" s="31" t="s">
        <v>2091</v>
      </c>
      <c r="E35" s="29" t="s">
        <v>2323</v>
      </c>
      <c r="F35" s="46" t="s">
        <v>2103</v>
      </c>
      <c r="G35" s="48" t="s">
        <v>2092</v>
      </c>
    </row>
    <row r="36" spans="1:7" x14ac:dyDescent="0.35">
      <c r="A36" s="33" t="s">
        <v>2036</v>
      </c>
      <c r="B36" s="31" t="s">
        <v>2179</v>
      </c>
      <c r="C36" s="28" t="s">
        <v>1995</v>
      </c>
      <c r="D36" s="31" t="s">
        <v>2167</v>
      </c>
      <c r="E36" s="29" t="s">
        <v>2115</v>
      </c>
      <c r="F36" s="46" t="s">
        <v>2326</v>
      </c>
      <c r="G36" s="48" t="s">
        <v>2092</v>
      </c>
    </row>
    <row r="37" spans="1:7" x14ac:dyDescent="0.35">
      <c r="A37" s="33" t="s">
        <v>2037</v>
      </c>
      <c r="B37" s="31" t="s">
        <v>2180</v>
      </c>
      <c r="C37" s="28" t="s">
        <v>1994</v>
      </c>
      <c r="D37" s="31" t="s">
        <v>2182</v>
      </c>
      <c r="E37" s="29" t="s">
        <v>2115</v>
      </c>
      <c r="F37" s="46" t="s">
        <v>2181</v>
      </c>
      <c r="G37" s="48" t="s">
        <v>2092</v>
      </c>
    </row>
    <row r="38" spans="1:7" x14ac:dyDescent="0.35">
      <c r="A38" s="34" t="s">
        <v>336</v>
      </c>
      <c r="B38" s="31" t="s">
        <v>2185</v>
      </c>
      <c r="C38" s="28" t="s">
        <v>1995</v>
      </c>
      <c r="D38" s="31" t="s">
        <v>2186</v>
      </c>
      <c r="E38" s="29" t="s">
        <v>2171</v>
      </c>
      <c r="F38" s="46" t="s">
        <v>2169</v>
      </c>
      <c r="G38" s="48" t="s">
        <v>2092</v>
      </c>
    </row>
    <row r="39" spans="1:7" x14ac:dyDescent="0.35">
      <c r="A39" s="33" t="s">
        <v>2038</v>
      </c>
      <c r="B39" s="31" t="s">
        <v>2189</v>
      </c>
      <c r="C39" s="28" t="s">
        <v>1994</v>
      </c>
      <c r="D39" s="31" t="s">
        <v>2098</v>
      </c>
      <c r="E39" s="29" t="s">
        <v>2099</v>
      </c>
      <c r="F39" s="46" t="s">
        <v>2097</v>
      </c>
      <c r="G39" s="48" t="s">
        <v>2092</v>
      </c>
    </row>
    <row r="40" spans="1:7" hidden="1" x14ac:dyDescent="0.35">
      <c r="A40" s="26" t="s">
        <v>2067</v>
      </c>
      <c r="B40" s="31" t="s">
        <v>2338</v>
      </c>
      <c r="C40" s="28" t="s">
        <v>1995</v>
      </c>
      <c r="D40" s="31" t="s">
        <v>2146</v>
      </c>
      <c r="E40" s="29" t="s">
        <v>2323</v>
      </c>
      <c r="F40" s="46" t="s">
        <v>2103</v>
      </c>
      <c r="G40" s="48" t="s">
        <v>2325</v>
      </c>
    </row>
    <row r="41" spans="1:7" x14ac:dyDescent="0.35">
      <c r="A41" s="26" t="s">
        <v>40</v>
      </c>
      <c r="B41" s="31" t="s">
        <v>2339</v>
      </c>
      <c r="C41" s="28" t="s">
        <v>1995</v>
      </c>
      <c r="D41" s="31" t="s">
        <v>2104</v>
      </c>
      <c r="E41" s="29" t="s">
        <v>2323</v>
      </c>
      <c r="F41" s="46" t="s">
        <v>2103</v>
      </c>
      <c r="G41" s="48" t="s">
        <v>2092</v>
      </c>
    </row>
    <row r="42" spans="1:7" hidden="1" x14ac:dyDescent="0.35">
      <c r="A42" s="26" t="s">
        <v>2028</v>
      </c>
      <c r="B42" s="31" t="s">
        <v>2340</v>
      </c>
      <c r="C42" s="28" t="s">
        <v>1995</v>
      </c>
      <c r="D42" s="31" t="s">
        <v>2091</v>
      </c>
      <c r="E42" s="29" t="s">
        <v>2093</v>
      </c>
      <c r="F42" s="46" t="s">
        <v>2103</v>
      </c>
      <c r="G42" s="48" t="s">
        <v>2325</v>
      </c>
    </row>
    <row r="43" spans="1:7" x14ac:dyDescent="0.35">
      <c r="A43" s="26" t="s">
        <v>622</v>
      </c>
      <c r="B43" s="31" t="s">
        <v>2341</v>
      </c>
      <c r="C43" s="28" t="s">
        <v>1995</v>
      </c>
      <c r="D43" s="31" t="s">
        <v>2091</v>
      </c>
      <c r="E43" s="29" t="s">
        <v>2323</v>
      </c>
      <c r="F43" s="46" t="s">
        <v>2103</v>
      </c>
      <c r="G43" s="48" t="s">
        <v>2342</v>
      </c>
    </row>
    <row r="44" spans="1:7" x14ac:dyDescent="0.35">
      <c r="A44" s="35" t="s">
        <v>2126</v>
      </c>
      <c r="B44" s="31" t="s">
        <v>2126</v>
      </c>
      <c r="C44" s="28" t="s">
        <v>1994</v>
      </c>
      <c r="D44" s="31" t="s">
        <v>2197</v>
      </c>
      <c r="E44" s="29" t="s">
        <v>2099</v>
      </c>
      <c r="F44" s="46" t="s">
        <v>2135</v>
      </c>
      <c r="G44" s="48" t="s">
        <v>2092</v>
      </c>
    </row>
    <row r="45" spans="1:7" x14ac:dyDescent="0.35">
      <c r="A45" s="26" t="s">
        <v>1756</v>
      </c>
      <c r="B45" s="31" t="s">
        <v>2178</v>
      </c>
      <c r="C45" s="28" t="s">
        <v>1995</v>
      </c>
      <c r="D45" s="31" t="s">
        <v>2091</v>
      </c>
      <c r="E45" s="29" t="s">
        <v>2323</v>
      </c>
      <c r="F45" s="46" t="s">
        <v>2103</v>
      </c>
      <c r="G45" s="48" t="s">
        <v>2092</v>
      </c>
    </row>
    <row r="46" spans="1:7" x14ac:dyDescent="0.35">
      <c r="A46" s="33" t="s">
        <v>562</v>
      </c>
      <c r="B46" s="31" t="s">
        <v>2199</v>
      </c>
      <c r="C46" s="28" t="s">
        <v>1995</v>
      </c>
      <c r="D46" s="31" t="s">
        <v>2186</v>
      </c>
      <c r="E46" s="29" t="s">
        <v>2171</v>
      </c>
      <c r="F46" s="46" t="s">
        <v>2169</v>
      </c>
      <c r="G46" s="48" t="s">
        <v>2092</v>
      </c>
    </row>
    <row r="47" spans="1:7" x14ac:dyDescent="0.35">
      <c r="A47" s="35" t="s">
        <v>337</v>
      </c>
      <c r="B47" s="31" t="s">
        <v>2169</v>
      </c>
      <c r="C47" s="28" t="s">
        <v>1994</v>
      </c>
      <c r="D47" s="31" t="s">
        <v>2201</v>
      </c>
      <c r="E47" s="29" t="s">
        <v>2171</v>
      </c>
      <c r="F47" s="46" t="s">
        <v>2200</v>
      </c>
      <c r="G47" s="48" t="s">
        <v>2092</v>
      </c>
    </row>
    <row r="48" spans="1:7" x14ac:dyDescent="0.35">
      <c r="A48" s="35" t="s">
        <v>2044</v>
      </c>
      <c r="B48" s="31" t="s">
        <v>2202</v>
      </c>
      <c r="C48" s="28" t="s">
        <v>1994</v>
      </c>
      <c r="D48" s="31" t="s">
        <v>2203</v>
      </c>
      <c r="E48" s="29" t="s">
        <v>2099</v>
      </c>
      <c r="F48" s="46" t="s">
        <v>2097</v>
      </c>
      <c r="G48" s="48" t="s">
        <v>2092</v>
      </c>
    </row>
    <row r="49" spans="1:7" x14ac:dyDescent="0.35">
      <c r="A49" s="26" t="s">
        <v>2045</v>
      </c>
      <c r="B49" s="31" t="s">
        <v>2209</v>
      </c>
      <c r="C49" s="28" t="s">
        <v>1995</v>
      </c>
      <c r="D49" s="31" t="s">
        <v>2146</v>
      </c>
      <c r="E49" s="29" t="s">
        <v>2184</v>
      </c>
      <c r="F49" s="46" t="s">
        <v>2103</v>
      </c>
      <c r="G49" s="48" t="s">
        <v>2092</v>
      </c>
    </row>
    <row r="50" spans="1:7" x14ac:dyDescent="0.35">
      <c r="A50" s="33" t="s">
        <v>243</v>
      </c>
      <c r="B50" s="31" t="s">
        <v>2205</v>
      </c>
      <c r="C50" s="28" t="s">
        <v>1994</v>
      </c>
      <c r="D50" s="31" t="s">
        <v>2207</v>
      </c>
      <c r="E50" s="29" t="s">
        <v>2208</v>
      </c>
      <c r="F50" s="46" t="s">
        <v>2206</v>
      </c>
      <c r="G50" s="48" t="s">
        <v>2092</v>
      </c>
    </row>
    <row r="51" spans="1:7" x14ac:dyDescent="0.35">
      <c r="A51" s="26" t="s">
        <v>2048</v>
      </c>
      <c r="B51" s="31" t="s">
        <v>2218</v>
      </c>
      <c r="C51" s="28" t="s">
        <v>1995</v>
      </c>
      <c r="D51" s="31" t="s">
        <v>2193</v>
      </c>
      <c r="E51" s="29" t="s">
        <v>2194</v>
      </c>
      <c r="F51" s="46" t="s">
        <v>2103</v>
      </c>
      <c r="G51" s="48" t="s">
        <v>2092</v>
      </c>
    </row>
    <row r="52" spans="1:7" x14ac:dyDescent="0.35">
      <c r="A52" s="26" t="s">
        <v>1620</v>
      </c>
      <c r="B52" s="27" t="s">
        <v>2229</v>
      </c>
      <c r="C52" s="28" t="s">
        <v>1995</v>
      </c>
      <c r="D52" s="27" t="s">
        <v>2146</v>
      </c>
      <c r="E52" s="29" t="s">
        <v>2323</v>
      </c>
      <c r="F52" s="46" t="s">
        <v>2103</v>
      </c>
      <c r="G52" s="48" t="s">
        <v>2092</v>
      </c>
    </row>
    <row r="53" spans="1:7" x14ac:dyDescent="0.35">
      <c r="A53" s="26" t="s">
        <v>294</v>
      </c>
      <c r="B53" s="31" t="s">
        <v>2211</v>
      </c>
      <c r="C53" s="28" t="s">
        <v>1994</v>
      </c>
      <c r="D53" s="31" t="s">
        <v>2123</v>
      </c>
      <c r="E53" s="29" t="s">
        <v>2332</v>
      </c>
      <c r="F53" s="46" t="s">
        <v>2103</v>
      </c>
      <c r="G53" s="48" t="s">
        <v>2092</v>
      </c>
    </row>
    <row r="54" spans="1:7" x14ac:dyDescent="0.35">
      <c r="A54" s="26" t="s">
        <v>2046</v>
      </c>
      <c r="B54" s="31" t="s">
        <v>2214</v>
      </c>
      <c r="C54" s="28" t="s">
        <v>1994</v>
      </c>
      <c r="D54" s="31" t="s">
        <v>2215</v>
      </c>
      <c r="E54" s="29" t="s">
        <v>2171</v>
      </c>
      <c r="F54" s="46" t="s">
        <v>2169</v>
      </c>
      <c r="G54" s="48" t="s">
        <v>2092</v>
      </c>
    </row>
    <row r="55" spans="1:7" hidden="1" x14ac:dyDescent="0.35">
      <c r="A55" s="26" t="s">
        <v>2047</v>
      </c>
      <c r="B55" s="31" t="s">
        <v>2343</v>
      </c>
      <c r="C55" s="28" t="s">
        <v>1995</v>
      </c>
      <c r="D55" s="31" t="s">
        <v>2170</v>
      </c>
      <c r="E55" s="29" t="s">
        <v>2171</v>
      </c>
      <c r="F55" s="46" t="s">
        <v>2169</v>
      </c>
      <c r="G55" s="48" t="s">
        <v>2325</v>
      </c>
    </row>
    <row r="56" spans="1:7" x14ac:dyDescent="0.35">
      <c r="A56" s="26" t="s">
        <v>252</v>
      </c>
      <c r="B56" s="31" t="s">
        <v>2216</v>
      </c>
      <c r="C56" s="28" t="s">
        <v>1994</v>
      </c>
      <c r="D56" s="31" t="s">
        <v>2217</v>
      </c>
      <c r="E56" s="29" t="s">
        <v>2332</v>
      </c>
      <c r="F56" s="46" t="s">
        <v>2135</v>
      </c>
      <c r="G56" s="48" t="s">
        <v>2092</v>
      </c>
    </row>
    <row r="57" spans="1:7" x14ac:dyDescent="0.35">
      <c r="A57" s="26" t="s">
        <v>140</v>
      </c>
      <c r="B57" s="31" t="s">
        <v>2233</v>
      </c>
      <c r="C57" s="28" t="s">
        <v>1995</v>
      </c>
      <c r="D57" s="31" t="s">
        <v>2091</v>
      </c>
      <c r="E57" s="29" t="s">
        <v>2323</v>
      </c>
      <c r="F57" s="46" t="s">
        <v>2103</v>
      </c>
      <c r="G57" s="48" t="s">
        <v>2092</v>
      </c>
    </row>
    <row r="58" spans="1:7" x14ac:dyDescent="0.35">
      <c r="A58" s="26" t="s">
        <v>445</v>
      </c>
      <c r="B58" s="31" t="s">
        <v>2220</v>
      </c>
      <c r="C58" s="28" t="s">
        <v>1994</v>
      </c>
      <c r="D58" s="31" t="s">
        <v>2222</v>
      </c>
      <c r="E58" s="29" t="s">
        <v>2223</v>
      </c>
      <c r="F58" s="46" t="s">
        <v>2221</v>
      </c>
      <c r="G58" s="48" t="s">
        <v>2092</v>
      </c>
    </row>
    <row r="59" spans="1:7" x14ac:dyDescent="0.35">
      <c r="A59" s="26" t="s">
        <v>2049</v>
      </c>
      <c r="B59" s="31" t="s">
        <v>2224</v>
      </c>
      <c r="C59" s="28" t="s">
        <v>1994</v>
      </c>
      <c r="D59" s="31" t="s">
        <v>2140</v>
      </c>
      <c r="E59" s="29" t="s">
        <v>2115</v>
      </c>
      <c r="F59" s="46" t="s">
        <v>2326</v>
      </c>
      <c r="G59" s="48" t="s">
        <v>2092</v>
      </c>
    </row>
    <row r="60" spans="1:7" x14ac:dyDescent="0.35">
      <c r="A60" s="26" t="s">
        <v>247</v>
      </c>
      <c r="B60" s="31" t="s">
        <v>2097</v>
      </c>
      <c r="C60" s="28" t="s">
        <v>1994</v>
      </c>
      <c r="D60" s="31" t="s">
        <v>2226</v>
      </c>
      <c r="E60" s="29" t="s">
        <v>2099</v>
      </c>
      <c r="F60" s="46" t="s">
        <v>2126</v>
      </c>
      <c r="G60" s="48" t="s">
        <v>2092</v>
      </c>
    </row>
    <row r="61" spans="1:7" x14ac:dyDescent="0.35">
      <c r="A61" s="26" t="s">
        <v>123</v>
      </c>
      <c r="B61" s="31" t="s">
        <v>2227</v>
      </c>
      <c r="C61" s="28" t="s">
        <v>1994</v>
      </c>
      <c r="D61" s="31" t="s">
        <v>2228</v>
      </c>
      <c r="E61" s="29" t="s">
        <v>2099</v>
      </c>
      <c r="F61" s="46" t="s">
        <v>2126</v>
      </c>
      <c r="G61" s="48" t="s">
        <v>2092</v>
      </c>
    </row>
    <row r="62" spans="1:7" x14ac:dyDescent="0.35">
      <c r="A62" s="26" t="s">
        <v>2051</v>
      </c>
      <c r="B62" s="31" t="s">
        <v>2242</v>
      </c>
      <c r="C62" s="28" t="s">
        <v>1995</v>
      </c>
      <c r="D62" s="31" t="s">
        <v>2091</v>
      </c>
      <c r="E62" s="29" t="s">
        <v>2184</v>
      </c>
      <c r="F62" s="46" t="s">
        <v>2103</v>
      </c>
      <c r="G62" s="48" t="s">
        <v>2092</v>
      </c>
    </row>
    <row r="63" spans="1:7" x14ac:dyDescent="0.35">
      <c r="A63" s="26" t="s">
        <v>120</v>
      </c>
      <c r="B63" s="31" t="s">
        <v>2252</v>
      </c>
      <c r="C63" s="28" t="s">
        <v>1995</v>
      </c>
      <c r="D63" s="31" t="s">
        <v>2104</v>
      </c>
      <c r="E63" s="29" t="s">
        <v>2074</v>
      </c>
      <c r="F63" s="46" t="s">
        <v>2103</v>
      </c>
      <c r="G63" s="48" t="s">
        <v>2092</v>
      </c>
    </row>
    <row r="64" spans="1:7" x14ac:dyDescent="0.35">
      <c r="A64" s="26" t="s">
        <v>222</v>
      </c>
      <c r="B64" s="31" t="s">
        <v>2267</v>
      </c>
      <c r="C64" s="28" t="s">
        <v>1995</v>
      </c>
      <c r="D64" s="31" t="s">
        <v>2268</v>
      </c>
      <c r="E64" s="29" t="s">
        <v>2184</v>
      </c>
      <c r="F64" s="46" t="s">
        <v>2103</v>
      </c>
      <c r="G64" s="48" t="s">
        <v>2092</v>
      </c>
    </row>
    <row r="65" spans="1:7" x14ac:dyDescent="0.35">
      <c r="A65" s="26" t="s">
        <v>355</v>
      </c>
      <c r="B65" s="31" t="s">
        <v>2130</v>
      </c>
      <c r="C65" s="28" t="s">
        <v>1994</v>
      </c>
      <c r="D65" s="31" t="s">
        <v>2236</v>
      </c>
      <c r="E65" s="29" t="s">
        <v>2332</v>
      </c>
      <c r="F65" s="46" t="s">
        <v>2216</v>
      </c>
      <c r="G65" s="48" t="s">
        <v>2092</v>
      </c>
    </row>
    <row r="66" spans="1:7" x14ac:dyDescent="0.35">
      <c r="A66" s="26" t="s">
        <v>903</v>
      </c>
      <c r="B66" s="31" t="s">
        <v>2237</v>
      </c>
      <c r="C66" s="28" t="s">
        <v>1994</v>
      </c>
      <c r="D66" s="31" t="s">
        <v>2142</v>
      </c>
      <c r="E66" s="29" t="s">
        <v>2099</v>
      </c>
      <c r="F66" s="46" t="s">
        <v>2097</v>
      </c>
      <c r="G66" s="48" t="s">
        <v>2092</v>
      </c>
    </row>
    <row r="67" spans="1:7" x14ac:dyDescent="0.35">
      <c r="A67" s="26" t="s">
        <v>688</v>
      </c>
      <c r="B67" s="31" t="s">
        <v>2238</v>
      </c>
      <c r="C67" s="28" t="s">
        <v>1994</v>
      </c>
      <c r="D67" s="31" t="s">
        <v>2123</v>
      </c>
      <c r="E67" s="29" t="s">
        <v>2223</v>
      </c>
      <c r="F67" s="46" t="s">
        <v>2221</v>
      </c>
      <c r="G67" s="48" t="s">
        <v>2092</v>
      </c>
    </row>
    <row r="68" spans="1:7" x14ac:dyDescent="0.35">
      <c r="A68" s="26" t="s">
        <v>260</v>
      </c>
      <c r="B68" s="31" t="s">
        <v>2240</v>
      </c>
      <c r="C68" s="28" t="s">
        <v>1995</v>
      </c>
      <c r="D68" s="31" t="s">
        <v>2156</v>
      </c>
      <c r="E68" s="29" t="s">
        <v>2120</v>
      </c>
      <c r="F68" s="46" t="s">
        <v>2118</v>
      </c>
      <c r="G68" s="48" t="s">
        <v>2092</v>
      </c>
    </row>
    <row r="69" spans="1:7" x14ac:dyDescent="0.35">
      <c r="A69" s="26" t="s">
        <v>2063</v>
      </c>
      <c r="B69" s="31" t="s">
        <v>2269</v>
      </c>
      <c r="C69" s="28" t="s">
        <v>1995</v>
      </c>
      <c r="D69" s="31" t="s">
        <v>2146</v>
      </c>
      <c r="E69" s="29" t="s">
        <v>2323</v>
      </c>
      <c r="F69" s="46" t="s">
        <v>2103</v>
      </c>
      <c r="G69" s="48" t="s">
        <v>2092</v>
      </c>
    </row>
    <row r="70" spans="1:7" hidden="1" x14ac:dyDescent="0.35">
      <c r="A70" s="26" t="s">
        <v>2052</v>
      </c>
      <c r="B70" s="31" t="s">
        <v>2344</v>
      </c>
      <c r="C70" s="28" t="s">
        <v>1994</v>
      </c>
      <c r="D70" s="31" t="s">
        <v>2142</v>
      </c>
      <c r="E70" s="29" t="s">
        <v>2099</v>
      </c>
      <c r="F70" s="46" t="s">
        <v>2097</v>
      </c>
      <c r="G70" s="48" t="s">
        <v>2325</v>
      </c>
    </row>
    <row r="71" spans="1:7" x14ac:dyDescent="0.35">
      <c r="A71" s="26" t="s">
        <v>145</v>
      </c>
      <c r="B71" s="31" t="s">
        <v>2270</v>
      </c>
      <c r="C71" s="28" t="s">
        <v>1995</v>
      </c>
      <c r="D71" s="31" t="s">
        <v>2104</v>
      </c>
      <c r="E71" s="29" t="s">
        <v>2323</v>
      </c>
      <c r="F71" s="46" t="s">
        <v>2103</v>
      </c>
      <c r="G71" s="48" t="s">
        <v>2092</v>
      </c>
    </row>
    <row r="72" spans="1:7" hidden="1" x14ac:dyDescent="0.35">
      <c r="A72" s="26" t="s">
        <v>57</v>
      </c>
      <c r="B72" s="31" t="s">
        <v>2345</v>
      </c>
      <c r="C72" s="28" t="s">
        <v>1995</v>
      </c>
      <c r="D72" s="31" t="s">
        <v>2104</v>
      </c>
      <c r="E72" s="29" t="s">
        <v>2323</v>
      </c>
      <c r="F72" s="46" t="s">
        <v>2103</v>
      </c>
      <c r="G72" s="48" t="s">
        <v>2325</v>
      </c>
    </row>
    <row r="73" spans="1:7" x14ac:dyDescent="0.35">
      <c r="A73" s="26" t="s">
        <v>2346</v>
      </c>
      <c r="B73" s="31" t="s">
        <v>2311</v>
      </c>
      <c r="C73" s="28" t="s">
        <v>1995</v>
      </c>
      <c r="D73" s="31" t="s">
        <v>2193</v>
      </c>
      <c r="E73" s="29" t="s">
        <v>2194</v>
      </c>
      <c r="F73" s="46" t="s">
        <v>2103</v>
      </c>
      <c r="G73" s="48" t="s">
        <v>2092</v>
      </c>
    </row>
    <row r="74" spans="1:7" x14ac:dyDescent="0.35">
      <c r="A74" s="26" t="s">
        <v>212</v>
      </c>
      <c r="B74" s="31" t="s">
        <v>2090</v>
      </c>
      <c r="C74" s="28" t="s">
        <v>1995</v>
      </c>
      <c r="D74" s="31" t="s">
        <v>2119</v>
      </c>
      <c r="E74" s="29" t="s">
        <v>2332</v>
      </c>
      <c r="F74" s="46" t="s">
        <v>2113</v>
      </c>
      <c r="G74" s="48" t="s">
        <v>2092</v>
      </c>
    </row>
    <row r="75" spans="1:7" hidden="1" x14ac:dyDescent="0.35">
      <c r="A75" s="26" t="s">
        <v>2054</v>
      </c>
      <c r="B75" s="31" t="s">
        <v>2347</v>
      </c>
      <c r="C75" s="28" t="s">
        <v>1994</v>
      </c>
      <c r="D75" s="31" t="s">
        <v>2232</v>
      </c>
      <c r="E75" s="29" t="s">
        <v>2099</v>
      </c>
      <c r="F75" s="46" t="s">
        <v>2126</v>
      </c>
      <c r="G75" s="48" t="s">
        <v>2325</v>
      </c>
    </row>
    <row r="76" spans="1:7" x14ac:dyDescent="0.35">
      <c r="A76" s="26" t="s">
        <v>197</v>
      </c>
      <c r="B76" s="31" t="s">
        <v>2315</v>
      </c>
      <c r="C76" s="28" t="s">
        <v>1995</v>
      </c>
      <c r="D76" s="31" t="s">
        <v>2104</v>
      </c>
      <c r="E76" s="29" t="s">
        <v>2323</v>
      </c>
      <c r="F76" s="46" t="s">
        <v>2103</v>
      </c>
      <c r="G76" s="48" t="s">
        <v>2092</v>
      </c>
    </row>
    <row r="77" spans="1:7" x14ac:dyDescent="0.35">
      <c r="A77" s="26" t="s">
        <v>684</v>
      </c>
      <c r="B77" s="31" t="s">
        <v>2250</v>
      </c>
      <c r="C77" s="28" t="s">
        <v>1994</v>
      </c>
      <c r="D77" s="31" t="s">
        <v>2107</v>
      </c>
      <c r="E77" s="29" t="s">
        <v>2099</v>
      </c>
      <c r="F77" s="46" t="s">
        <v>2097</v>
      </c>
      <c r="G77" s="48" t="s">
        <v>2092</v>
      </c>
    </row>
    <row r="78" spans="1:7" x14ac:dyDescent="0.35">
      <c r="A78" s="26" t="s">
        <v>2348</v>
      </c>
      <c r="B78" s="31" t="s">
        <v>2349</v>
      </c>
      <c r="C78" s="28" t="s">
        <v>1995</v>
      </c>
      <c r="D78" s="31" t="s">
        <v>2146</v>
      </c>
      <c r="E78" s="29" t="s">
        <v>2093</v>
      </c>
      <c r="F78" s="46" t="s">
        <v>2130</v>
      </c>
      <c r="G78" s="48" t="s">
        <v>2092</v>
      </c>
    </row>
    <row r="79" spans="1:7" x14ac:dyDescent="0.35">
      <c r="A79" s="26" t="s">
        <v>2350</v>
      </c>
      <c r="B79" s="31" t="s">
        <v>2249</v>
      </c>
      <c r="C79" s="28" t="s">
        <v>1995</v>
      </c>
      <c r="D79" s="31" t="s">
        <v>2146</v>
      </c>
      <c r="E79" s="29" t="s">
        <v>2093</v>
      </c>
      <c r="F79" s="46" t="s">
        <v>2090</v>
      </c>
      <c r="G79" s="48" t="s">
        <v>2092</v>
      </c>
    </row>
    <row r="80" spans="1:7" x14ac:dyDescent="0.35">
      <c r="A80" s="26" t="s">
        <v>109</v>
      </c>
      <c r="B80" s="31" t="s">
        <v>2255</v>
      </c>
      <c r="C80" s="28" t="s">
        <v>1994</v>
      </c>
      <c r="D80" s="31" t="s">
        <v>2256</v>
      </c>
      <c r="E80" s="29" t="s">
        <v>2248</v>
      </c>
      <c r="F80" s="46" t="s">
        <v>2216</v>
      </c>
      <c r="G80" s="48" t="s">
        <v>2092</v>
      </c>
    </row>
    <row r="81" spans="1:7" x14ac:dyDescent="0.35">
      <c r="A81" s="26" t="s">
        <v>2056</v>
      </c>
      <c r="B81" s="31" t="s">
        <v>2257</v>
      </c>
      <c r="C81" s="28" t="s">
        <v>1995</v>
      </c>
      <c r="D81" s="31" t="s">
        <v>2186</v>
      </c>
      <c r="E81" s="29" t="s">
        <v>2171</v>
      </c>
      <c r="F81" s="46" t="s">
        <v>2169</v>
      </c>
      <c r="G81" s="48" t="s">
        <v>2092</v>
      </c>
    </row>
    <row r="82" spans="1:7" x14ac:dyDescent="0.35">
      <c r="A82" s="26" t="s">
        <v>2057</v>
      </c>
      <c r="B82" s="31" t="s">
        <v>2258</v>
      </c>
      <c r="C82" s="28" t="s">
        <v>1994</v>
      </c>
      <c r="D82" s="31" t="s">
        <v>2098</v>
      </c>
      <c r="E82" s="29" t="s">
        <v>2099</v>
      </c>
      <c r="F82" s="46" t="s">
        <v>2097</v>
      </c>
      <c r="G82" s="48" t="s">
        <v>2092</v>
      </c>
    </row>
    <row r="83" spans="1:7" x14ac:dyDescent="0.35">
      <c r="A83" s="26" t="s">
        <v>2058</v>
      </c>
      <c r="B83" s="31" t="s">
        <v>2260</v>
      </c>
      <c r="C83" s="28" t="s">
        <v>1995</v>
      </c>
      <c r="D83" s="31" t="s">
        <v>2170</v>
      </c>
      <c r="E83" s="29" t="s">
        <v>2171</v>
      </c>
      <c r="F83" s="46" t="s">
        <v>2169</v>
      </c>
      <c r="G83" s="48" t="s">
        <v>2092</v>
      </c>
    </row>
    <row r="84" spans="1:7" hidden="1" x14ac:dyDescent="0.35">
      <c r="A84" s="32" t="s">
        <v>2059</v>
      </c>
      <c r="B84" s="31" t="s">
        <v>2351</v>
      </c>
      <c r="C84" s="28" t="s">
        <v>1994</v>
      </c>
      <c r="D84" s="31" t="s">
        <v>2123</v>
      </c>
      <c r="E84" s="29" t="s">
        <v>2115</v>
      </c>
      <c r="F84" s="46" t="s">
        <v>2181</v>
      </c>
      <c r="G84" s="48" t="s">
        <v>2325</v>
      </c>
    </row>
    <row r="85" spans="1:7" x14ac:dyDescent="0.35">
      <c r="A85" s="50" t="s">
        <v>2251</v>
      </c>
      <c r="B85" s="50" t="s">
        <v>2251</v>
      </c>
      <c r="C85" s="28" t="s">
        <v>1995</v>
      </c>
      <c r="D85" s="31" t="s">
        <v>2091</v>
      </c>
      <c r="E85" s="29" t="s">
        <v>2093</v>
      </c>
      <c r="F85" s="46" t="s">
        <v>2090</v>
      </c>
      <c r="G85" s="48" t="s">
        <v>2092</v>
      </c>
    </row>
    <row r="86" spans="1:7" x14ac:dyDescent="0.35">
      <c r="A86" s="26" t="s">
        <v>1651</v>
      </c>
      <c r="B86" s="27" t="s">
        <v>2261</v>
      </c>
      <c r="C86" s="28" t="s">
        <v>1994</v>
      </c>
      <c r="D86" s="31" t="s">
        <v>2123</v>
      </c>
      <c r="E86" s="29" t="s">
        <v>2099</v>
      </c>
      <c r="F86" s="46" t="s">
        <v>2126</v>
      </c>
      <c r="G86" s="48" t="s">
        <v>2092</v>
      </c>
    </row>
    <row r="87" spans="1:7" x14ac:dyDescent="0.35">
      <c r="A87" s="26" t="s">
        <v>674</v>
      </c>
      <c r="B87" s="27" t="s">
        <v>2262</v>
      </c>
      <c r="C87" s="28" t="s">
        <v>1995</v>
      </c>
      <c r="D87" s="27" t="s">
        <v>2186</v>
      </c>
      <c r="E87" s="29" t="s">
        <v>2171</v>
      </c>
      <c r="F87" s="46" t="s">
        <v>2169</v>
      </c>
      <c r="G87" s="48" t="s">
        <v>2092</v>
      </c>
    </row>
    <row r="88" spans="1:7" x14ac:dyDescent="0.35">
      <c r="A88" s="26" t="s">
        <v>629</v>
      </c>
      <c r="B88" s="31" t="s">
        <v>2263</v>
      </c>
      <c r="C88" s="28" t="s">
        <v>1995</v>
      </c>
      <c r="D88" s="31" t="s">
        <v>2170</v>
      </c>
      <c r="E88" s="29" t="s">
        <v>2171</v>
      </c>
      <c r="F88" s="46" t="s">
        <v>2169</v>
      </c>
      <c r="G88" s="48" t="s">
        <v>2092</v>
      </c>
    </row>
    <row r="89" spans="1:7" x14ac:dyDescent="0.35">
      <c r="A89" s="26" t="s">
        <v>127</v>
      </c>
      <c r="B89" s="31" t="s">
        <v>2103</v>
      </c>
      <c r="C89" s="28" t="s">
        <v>1994</v>
      </c>
      <c r="D89" s="31" t="s">
        <v>2217</v>
      </c>
      <c r="E89" s="29" t="s">
        <v>2332</v>
      </c>
      <c r="F89" s="46" t="s">
        <v>2135</v>
      </c>
      <c r="G89" s="48" t="s">
        <v>2092</v>
      </c>
    </row>
    <row r="90" spans="1:7" x14ac:dyDescent="0.35">
      <c r="A90" s="26" t="s">
        <v>90</v>
      </c>
      <c r="B90" s="31" t="s">
        <v>2264</v>
      </c>
      <c r="C90" s="28" t="s">
        <v>1995</v>
      </c>
      <c r="D90" s="31" t="s">
        <v>2265</v>
      </c>
      <c r="E90" s="29" t="s">
        <v>2332</v>
      </c>
      <c r="F90" s="46" t="s">
        <v>2216</v>
      </c>
      <c r="G90" s="48" t="s">
        <v>2092</v>
      </c>
    </row>
    <row r="91" spans="1:7" x14ac:dyDescent="0.35">
      <c r="A91" s="26" t="s">
        <v>2062</v>
      </c>
      <c r="B91" s="27" t="s">
        <v>2266</v>
      </c>
      <c r="C91" s="28" t="s">
        <v>1994</v>
      </c>
      <c r="D91" s="27" t="s">
        <v>2123</v>
      </c>
      <c r="E91" s="29" t="s">
        <v>2115</v>
      </c>
      <c r="F91" s="46" t="s">
        <v>2326</v>
      </c>
      <c r="G91" s="48" t="s">
        <v>2092</v>
      </c>
    </row>
    <row r="92" spans="1:7" x14ac:dyDescent="0.35">
      <c r="A92" s="26" t="s">
        <v>1616</v>
      </c>
      <c r="B92" s="27" t="s">
        <v>2087</v>
      </c>
      <c r="C92" s="28" t="s">
        <v>1995</v>
      </c>
      <c r="D92" s="27" t="s">
        <v>2091</v>
      </c>
      <c r="E92" s="29" t="s">
        <v>2323</v>
      </c>
      <c r="F92" s="46" t="s">
        <v>2103</v>
      </c>
      <c r="G92" s="48" t="s">
        <v>2092</v>
      </c>
    </row>
    <row r="93" spans="1:7" x14ac:dyDescent="0.35">
      <c r="A93" s="30" t="s">
        <v>81</v>
      </c>
      <c r="B93" s="27" t="s">
        <v>2100</v>
      </c>
      <c r="C93" s="28" t="s">
        <v>1995</v>
      </c>
      <c r="D93" s="31" t="s">
        <v>2104</v>
      </c>
      <c r="E93" s="29" t="s">
        <v>2074</v>
      </c>
      <c r="F93" s="46" t="s">
        <v>2103</v>
      </c>
      <c r="G93" s="48" t="s">
        <v>2092</v>
      </c>
    </row>
    <row r="94" spans="1:7" x14ac:dyDescent="0.35">
      <c r="A94" s="33" t="s">
        <v>1535</v>
      </c>
      <c r="B94" s="31" t="s">
        <v>2128</v>
      </c>
      <c r="C94" s="28" t="s">
        <v>1995</v>
      </c>
      <c r="D94" s="31" t="s">
        <v>2091</v>
      </c>
      <c r="E94" s="29" t="s">
        <v>2323</v>
      </c>
      <c r="F94" s="46" t="s">
        <v>2103</v>
      </c>
      <c r="G94" s="48" t="s">
        <v>2092</v>
      </c>
    </row>
    <row r="95" spans="1:7" x14ac:dyDescent="0.35">
      <c r="A95" s="26" t="s">
        <v>2352</v>
      </c>
      <c r="B95" s="31" t="s">
        <v>2271</v>
      </c>
      <c r="C95" s="28" t="s">
        <v>1994</v>
      </c>
      <c r="D95" s="31" t="s">
        <v>2273</v>
      </c>
      <c r="E95" s="29" t="s">
        <v>2120</v>
      </c>
      <c r="F95" s="46" t="s">
        <v>2126</v>
      </c>
      <c r="G95" s="48" t="s">
        <v>2092</v>
      </c>
    </row>
    <row r="96" spans="1:7" x14ac:dyDescent="0.35">
      <c r="A96" s="33" t="s">
        <v>612</v>
      </c>
      <c r="B96" s="31" t="s">
        <v>2145</v>
      </c>
      <c r="C96" s="28" t="s">
        <v>1995</v>
      </c>
      <c r="D96" s="31" t="s">
        <v>2146</v>
      </c>
      <c r="E96" s="29" t="s">
        <v>2323</v>
      </c>
      <c r="F96" s="46" t="s">
        <v>2103</v>
      </c>
      <c r="G96" s="48" t="s">
        <v>2092</v>
      </c>
    </row>
    <row r="97" spans="1:7" x14ac:dyDescent="0.35">
      <c r="A97" s="33" t="s">
        <v>2035</v>
      </c>
      <c r="B97" s="31" t="s">
        <v>2035</v>
      </c>
      <c r="C97" s="28" t="s">
        <v>1995</v>
      </c>
      <c r="D97" s="31" t="s">
        <v>2146</v>
      </c>
      <c r="E97" s="29" t="s">
        <v>2323</v>
      </c>
      <c r="F97" s="46" t="s">
        <v>2103</v>
      </c>
      <c r="G97" s="48" t="s">
        <v>2092</v>
      </c>
    </row>
    <row r="98" spans="1:7" x14ac:dyDescent="0.35">
      <c r="A98" s="26" t="s">
        <v>2064</v>
      </c>
      <c r="B98" s="31" t="s">
        <v>2277</v>
      </c>
      <c r="C98" s="28" t="s">
        <v>1994</v>
      </c>
      <c r="D98" s="31" t="s">
        <v>2215</v>
      </c>
      <c r="E98" s="29" t="s">
        <v>2171</v>
      </c>
      <c r="F98" s="46" t="s">
        <v>2169</v>
      </c>
      <c r="G98" s="48" t="s">
        <v>2092</v>
      </c>
    </row>
    <row r="99" spans="1:7" hidden="1" x14ac:dyDescent="0.35">
      <c r="A99" s="26" t="s">
        <v>2065</v>
      </c>
      <c r="B99" s="31" t="s">
        <v>2353</v>
      </c>
      <c r="C99" s="28" t="s">
        <v>1994</v>
      </c>
      <c r="D99" s="31" t="s">
        <v>2232</v>
      </c>
      <c r="E99" s="29" t="s">
        <v>2115</v>
      </c>
      <c r="F99" s="46" t="s">
        <v>2326</v>
      </c>
      <c r="G99" s="48" t="s">
        <v>2325</v>
      </c>
    </row>
    <row r="100" spans="1:7" x14ac:dyDescent="0.35">
      <c r="A100" s="26" t="s">
        <v>58</v>
      </c>
      <c r="B100" s="31" t="s">
        <v>2152</v>
      </c>
      <c r="C100" s="28" t="s">
        <v>1994</v>
      </c>
      <c r="D100" s="31" t="s">
        <v>2236</v>
      </c>
      <c r="E100" s="29" t="s">
        <v>2332</v>
      </c>
      <c r="F100" s="46" t="s">
        <v>2216</v>
      </c>
      <c r="G100" s="48" t="s">
        <v>2092</v>
      </c>
    </row>
    <row r="101" spans="1:7" x14ac:dyDescent="0.35">
      <c r="A101" s="33" t="s">
        <v>916</v>
      </c>
      <c r="B101" s="31" t="s">
        <v>2192</v>
      </c>
      <c r="C101" s="28" t="s">
        <v>1995</v>
      </c>
      <c r="D101" s="31" t="s">
        <v>2193</v>
      </c>
      <c r="E101" s="29" t="s">
        <v>2194</v>
      </c>
      <c r="F101" s="46" t="s">
        <v>2103</v>
      </c>
      <c r="G101" s="48" t="s">
        <v>2092</v>
      </c>
    </row>
    <row r="102" spans="1:7" x14ac:dyDescent="0.35">
      <c r="A102" s="26" t="s">
        <v>980</v>
      </c>
      <c r="B102" s="31" t="s">
        <v>2280</v>
      </c>
      <c r="C102" s="28" t="s">
        <v>1995</v>
      </c>
      <c r="D102" s="31" t="s">
        <v>2167</v>
      </c>
      <c r="E102" s="29" t="s">
        <v>2115</v>
      </c>
      <c r="F102" s="46" t="s">
        <v>2326</v>
      </c>
      <c r="G102" s="48" t="s">
        <v>2092</v>
      </c>
    </row>
    <row r="103" spans="1:7" x14ac:dyDescent="0.35">
      <c r="A103" s="26" t="s">
        <v>391</v>
      </c>
      <c r="B103" s="31" t="s">
        <v>2281</v>
      </c>
      <c r="C103" s="28" t="s">
        <v>1994</v>
      </c>
      <c r="D103" s="31" t="s">
        <v>2283</v>
      </c>
      <c r="E103" s="29" t="s">
        <v>2284</v>
      </c>
      <c r="F103" s="46" t="s">
        <v>2282</v>
      </c>
      <c r="G103" s="48" t="s">
        <v>2092</v>
      </c>
    </row>
    <row r="104" spans="1:7" x14ac:dyDescent="0.35">
      <c r="A104" s="33" t="s">
        <v>102</v>
      </c>
      <c r="B104" s="31" t="s">
        <v>2195</v>
      </c>
      <c r="C104" s="28" t="s">
        <v>1995</v>
      </c>
      <c r="D104" s="31" t="s">
        <v>2193</v>
      </c>
      <c r="E104" s="29" t="s">
        <v>2194</v>
      </c>
      <c r="F104" s="46" t="s">
        <v>2103</v>
      </c>
      <c r="G104" s="48" t="s">
        <v>2092</v>
      </c>
    </row>
    <row r="105" spans="1:7" x14ac:dyDescent="0.35">
      <c r="A105" s="26" t="s">
        <v>498</v>
      </c>
      <c r="B105" s="31" t="s">
        <v>2286</v>
      </c>
      <c r="C105" s="28" t="s">
        <v>1994</v>
      </c>
      <c r="D105" s="31" t="s">
        <v>2288</v>
      </c>
      <c r="E105" s="29" t="s">
        <v>2284</v>
      </c>
      <c r="F105" s="46" t="s">
        <v>2287</v>
      </c>
      <c r="G105" s="48" t="s">
        <v>2092</v>
      </c>
    </row>
    <row r="106" spans="1:7" x14ac:dyDescent="0.35">
      <c r="A106" s="26" t="s">
        <v>99</v>
      </c>
      <c r="B106" s="27" t="s">
        <v>2289</v>
      </c>
      <c r="C106" s="28" t="s">
        <v>1994</v>
      </c>
      <c r="D106" s="31" t="s">
        <v>2290</v>
      </c>
      <c r="E106" s="29" t="s">
        <v>2223</v>
      </c>
      <c r="F106" s="46" t="s">
        <v>2221</v>
      </c>
      <c r="G106" s="48" t="s">
        <v>2092</v>
      </c>
    </row>
    <row r="107" spans="1:7" x14ac:dyDescent="0.35">
      <c r="A107" s="35" t="s">
        <v>2043</v>
      </c>
      <c r="B107" s="27" t="s">
        <v>2354</v>
      </c>
      <c r="C107" s="28" t="s">
        <v>1995</v>
      </c>
      <c r="D107" s="27" t="s">
        <v>2091</v>
      </c>
      <c r="E107" s="29" t="s">
        <v>2184</v>
      </c>
      <c r="F107" s="46" t="s">
        <v>2103</v>
      </c>
      <c r="G107" s="48" t="s">
        <v>2342</v>
      </c>
    </row>
    <row r="108" spans="1:7" x14ac:dyDescent="0.35">
      <c r="A108" s="26" t="s">
        <v>161</v>
      </c>
      <c r="B108" s="31" t="s">
        <v>2118</v>
      </c>
      <c r="C108" s="28" t="s">
        <v>1994</v>
      </c>
      <c r="D108" s="31" t="s">
        <v>2355</v>
      </c>
      <c r="E108" s="29" t="s">
        <v>2120</v>
      </c>
      <c r="F108" s="46" t="s">
        <v>2135</v>
      </c>
      <c r="G108" s="48" t="s">
        <v>2092</v>
      </c>
    </row>
    <row r="109" spans="1:7" x14ac:dyDescent="0.35">
      <c r="A109" s="26" t="s">
        <v>2066</v>
      </c>
      <c r="B109" s="31" t="s">
        <v>2293</v>
      </c>
      <c r="C109" s="28" t="s">
        <v>1994</v>
      </c>
      <c r="D109" s="31" t="s">
        <v>2142</v>
      </c>
      <c r="E109" s="29" t="s">
        <v>2099</v>
      </c>
      <c r="F109" s="46" t="s">
        <v>2097</v>
      </c>
      <c r="G109" s="48" t="s">
        <v>2092</v>
      </c>
    </row>
    <row r="110" spans="1:7" x14ac:dyDescent="0.35">
      <c r="A110" s="26" t="s">
        <v>74</v>
      </c>
      <c r="B110" s="31" t="s">
        <v>2294</v>
      </c>
      <c r="C110" s="28" t="s">
        <v>1994</v>
      </c>
      <c r="D110" s="31" t="s">
        <v>2296</v>
      </c>
      <c r="E110" s="29" t="s">
        <v>2115</v>
      </c>
      <c r="F110" s="46" t="s">
        <v>2326</v>
      </c>
      <c r="G110" s="48" t="s">
        <v>2092</v>
      </c>
    </row>
    <row r="111" spans="1:7" x14ac:dyDescent="0.35">
      <c r="A111" s="26" t="s">
        <v>420</v>
      </c>
      <c r="B111" s="31" t="s">
        <v>2297</v>
      </c>
      <c r="C111" s="28" t="s">
        <v>1994</v>
      </c>
      <c r="D111" s="31" t="s">
        <v>2298</v>
      </c>
      <c r="E111" s="29" t="s">
        <v>2120</v>
      </c>
      <c r="F111" s="46" t="s">
        <v>2118</v>
      </c>
      <c r="G111" s="48" t="s">
        <v>2092</v>
      </c>
    </row>
    <row r="112" spans="1:7" x14ac:dyDescent="0.35">
      <c r="A112" s="26" t="s">
        <v>1436</v>
      </c>
      <c r="B112" s="31" t="s">
        <v>2210</v>
      </c>
      <c r="C112" s="28" t="s">
        <v>1995</v>
      </c>
      <c r="D112" s="31" t="s">
        <v>2104</v>
      </c>
      <c r="E112" s="29" t="s">
        <v>2184</v>
      </c>
      <c r="F112" s="46" t="s">
        <v>2103</v>
      </c>
      <c r="G112" s="48" t="s">
        <v>2092</v>
      </c>
    </row>
    <row r="113" spans="1:7" x14ac:dyDescent="0.35">
      <c r="A113" s="26" t="s">
        <v>1425</v>
      </c>
      <c r="B113" s="31" t="s">
        <v>2300</v>
      </c>
      <c r="C113" s="28" t="s">
        <v>1994</v>
      </c>
      <c r="D113" s="31" t="s">
        <v>2140</v>
      </c>
      <c r="E113" s="29" t="s">
        <v>2115</v>
      </c>
      <c r="F113" s="46" t="s">
        <v>2326</v>
      </c>
      <c r="G113" s="48" t="s">
        <v>2092</v>
      </c>
    </row>
    <row r="114" spans="1:7" x14ac:dyDescent="0.35">
      <c r="A114" s="26" t="s">
        <v>151</v>
      </c>
      <c r="B114" s="31" t="s">
        <v>2221</v>
      </c>
      <c r="C114" s="28" t="s">
        <v>1994</v>
      </c>
      <c r="D114" s="31" t="s">
        <v>2303</v>
      </c>
      <c r="E114" s="29" t="s">
        <v>2223</v>
      </c>
      <c r="F114" s="46" t="s">
        <v>2135</v>
      </c>
      <c r="G114" s="48" t="s">
        <v>2092</v>
      </c>
    </row>
    <row r="115" spans="1:7" x14ac:dyDescent="0.35">
      <c r="A115" s="26" t="s">
        <v>117</v>
      </c>
      <c r="B115" s="31" t="s">
        <v>2304</v>
      </c>
      <c r="C115" s="28" t="s">
        <v>1994</v>
      </c>
      <c r="D115" s="31" t="s">
        <v>2123</v>
      </c>
      <c r="E115" s="29" t="s">
        <v>2332</v>
      </c>
      <c r="F115" s="46" t="s">
        <v>2216</v>
      </c>
      <c r="G115" s="48" t="s">
        <v>2092</v>
      </c>
    </row>
    <row r="116" spans="1:7" x14ac:dyDescent="0.35">
      <c r="A116" s="26" t="s">
        <v>1189</v>
      </c>
      <c r="B116" s="31" t="s">
        <v>2234</v>
      </c>
      <c r="C116" s="28" t="s">
        <v>1995</v>
      </c>
      <c r="D116" s="31" t="s">
        <v>2104</v>
      </c>
      <c r="E116" s="29" t="s">
        <v>2323</v>
      </c>
      <c r="F116" s="46" t="s">
        <v>2103</v>
      </c>
      <c r="G116" s="48" t="s">
        <v>2092</v>
      </c>
    </row>
    <row r="117" spans="1:7" x14ac:dyDescent="0.35">
      <c r="A117" s="26" t="s">
        <v>2068</v>
      </c>
      <c r="B117" s="31" t="s">
        <v>2307</v>
      </c>
      <c r="C117" s="28" t="s">
        <v>1994</v>
      </c>
      <c r="D117" s="31" t="s">
        <v>2098</v>
      </c>
      <c r="E117" s="29" t="s">
        <v>2099</v>
      </c>
      <c r="F117" s="46" t="s">
        <v>2097</v>
      </c>
      <c r="G117" s="48" t="s">
        <v>2092</v>
      </c>
    </row>
    <row r="118" spans="1:7" hidden="1" x14ac:dyDescent="0.35">
      <c r="A118" s="26" t="s">
        <v>2053</v>
      </c>
      <c r="B118" s="27" t="s">
        <v>2356</v>
      </c>
      <c r="C118" s="28" t="s">
        <v>1995</v>
      </c>
      <c r="D118" s="27" t="s">
        <v>2146</v>
      </c>
      <c r="E118" s="29" t="s">
        <v>2184</v>
      </c>
      <c r="F118" s="46" t="s">
        <v>2103</v>
      </c>
      <c r="G118" s="48" t="s">
        <v>2325</v>
      </c>
    </row>
    <row r="119" spans="1:7" x14ac:dyDescent="0.35">
      <c r="A119" s="36" t="s">
        <v>438</v>
      </c>
      <c r="B119" s="39" t="s">
        <v>2243</v>
      </c>
      <c r="C119" s="28" t="s">
        <v>1995</v>
      </c>
      <c r="D119" s="39" t="s">
        <v>2104</v>
      </c>
      <c r="E119" s="38" t="s">
        <v>2323</v>
      </c>
      <c r="F119" s="46" t="s">
        <v>2103</v>
      </c>
      <c r="G119" s="48" t="s">
        <v>2092</v>
      </c>
    </row>
    <row r="120" spans="1:7" x14ac:dyDescent="0.35">
      <c r="A120" s="26" t="s">
        <v>1770</v>
      </c>
      <c r="B120" s="27" t="s">
        <v>2312</v>
      </c>
      <c r="C120" s="28" t="s">
        <v>1994</v>
      </c>
      <c r="D120" s="27" t="s">
        <v>2232</v>
      </c>
      <c r="E120" s="29" t="s">
        <v>2223</v>
      </c>
      <c r="F120" s="46" t="s">
        <v>2221</v>
      </c>
      <c r="G120" s="48" t="s">
        <v>2092</v>
      </c>
    </row>
    <row r="121" spans="1:7" x14ac:dyDescent="0.35">
      <c r="A121" s="26" t="s">
        <v>1977</v>
      </c>
      <c r="B121" s="31" t="s">
        <v>2244</v>
      </c>
      <c r="C121" s="28" t="s">
        <v>1995</v>
      </c>
      <c r="D121" s="31" t="s">
        <v>2091</v>
      </c>
      <c r="E121" s="29" t="s">
        <v>2093</v>
      </c>
      <c r="F121" s="12" t="s">
        <v>2130</v>
      </c>
      <c r="G121" s="48" t="s">
        <v>2092</v>
      </c>
    </row>
    <row r="122" spans="1:7" x14ac:dyDescent="0.35">
      <c r="A122" s="26" t="s">
        <v>637</v>
      </c>
      <c r="B122" s="31" t="s">
        <v>2314</v>
      </c>
      <c r="C122" s="28" t="s">
        <v>1994</v>
      </c>
      <c r="D122" s="31" t="s">
        <v>2219</v>
      </c>
      <c r="E122" s="29" t="s">
        <v>2099</v>
      </c>
      <c r="F122" s="46" t="s">
        <v>2097</v>
      </c>
      <c r="G122" s="48" t="s">
        <v>2092</v>
      </c>
    </row>
    <row r="123" spans="1:7" x14ac:dyDescent="0.35">
      <c r="A123" s="26" t="s">
        <v>256</v>
      </c>
      <c r="B123" s="27" t="s">
        <v>2275</v>
      </c>
      <c r="C123" s="28" t="s">
        <v>1995</v>
      </c>
      <c r="D123" s="27" t="s">
        <v>2104</v>
      </c>
      <c r="E123" s="29" t="s">
        <v>2323</v>
      </c>
      <c r="F123" s="46" t="s">
        <v>2103</v>
      </c>
      <c r="G123" s="48" t="s">
        <v>2092</v>
      </c>
    </row>
    <row r="124" spans="1:7" x14ac:dyDescent="0.35">
      <c r="A124" s="36" t="s">
        <v>1707</v>
      </c>
      <c r="B124" s="39" t="s">
        <v>2316</v>
      </c>
      <c r="C124" s="28" t="s">
        <v>1994</v>
      </c>
      <c r="D124" s="39" t="s">
        <v>2123</v>
      </c>
      <c r="E124" s="38" t="s">
        <v>2208</v>
      </c>
      <c r="F124" s="46" t="s">
        <v>2205</v>
      </c>
      <c r="G124" s="48" t="s">
        <v>2092</v>
      </c>
    </row>
    <row r="125" spans="1:7" x14ac:dyDescent="0.35">
      <c r="A125" s="26" t="s">
        <v>2357</v>
      </c>
      <c r="B125" s="31" t="s">
        <v>2121</v>
      </c>
      <c r="C125" s="28" t="s">
        <v>1994</v>
      </c>
      <c r="D125" s="39" t="s">
        <v>2123</v>
      </c>
      <c r="E125" s="29" t="s">
        <v>2115</v>
      </c>
      <c r="F125" s="12" t="s">
        <v>2113</v>
      </c>
      <c r="G125" s="48" t="s">
        <v>2092</v>
      </c>
    </row>
    <row r="126" spans="1:7" x14ac:dyDescent="0.35">
      <c r="A126" s="26" t="s">
        <v>2358</v>
      </c>
      <c r="B126" s="31" t="s">
        <v>2141</v>
      </c>
      <c r="C126" s="28" t="s">
        <v>1994</v>
      </c>
      <c r="D126" s="31" t="s">
        <v>2142</v>
      </c>
      <c r="E126" s="29" t="s">
        <v>2099</v>
      </c>
      <c r="F126" s="12" t="s">
        <v>2097</v>
      </c>
      <c r="G126" s="48" t="s">
        <v>2092</v>
      </c>
    </row>
    <row r="127" spans="1:7" x14ac:dyDescent="0.35">
      <c r="A127" s="32" t="s">
        <v>2279</v>
      </c>
      <c r="B127" s="31" t="s">
        <v>2279</v>
      </c>
      <c r="C127" s="28" t="s">
        <v>1995</v>
      </c>
      <c r="D127" s="31" t="s">
        <v>2104</v>
      </c>
      <c r="E127" s="29" t="s">
        <v>2323</v>
      </c>
      <c r="F127" s="12" t="s">
        <v>2103</v>
      </c>
      <c r="G127" s="48" t="s">
        <v>2092</v>
      </c>
    </row>
    <row r="128" spans="1:7" x14ac:dyDescent="0.35">
      <c r="A128" s="26" t="s">
        <v>77</v>
      </c>
      <c r="B128" s="31" t="s">
        <v>2299</v>
      </c>
      <c r="C128" s="28" t="s">
        <v>1995</v>
      </c>
      <c r="D128" s="31" t="s">
        <v>2091</v>
      </c>
      <c r="E128" s="29" t="s">
        <v>2184</v>
      </c>
      <c r="F128" s="12" t="s">
        <v>2103</v>
      </c>
      <c r="G128" s="48" t="s">
        <v>2092</v>
      </c>
    </row>
    <row r="129" spans="1:7" x14ac:dyDescent="0.35">
      <c r="A129" s="26" t="s">
        <v>2359</v>
      </c>
      <c r="B129" s="31" t="s">
        <v>2198</v>
      </c>
      <c r="C129" s="28" t="s">
        <v>1995</v>
      </c>
      <c r="D129" s="31" t="s">
        <v>2170</v>
      </c>
      <c r="E129" s="29" t="s">
        <v>2171</v>
      </c>
      <c r="F129" s="46" t="s">
        <v>2169</v>
      </c>
      <c r="G129" s="48" t="s">
        <v>2092</v>
      </c>
    </row>
    <row r="130" spans="1:7" hidden="1" x14ac:dyDescent="0.35">
      <c r="A130" s="26" t="s">
        <v>2360</v>
      </c>
      <c r="B130" s="31" t="s">
        <v>2361</v>
      </c>
      <c r="C130" s="28" t="s">
        <v>1995</v>
      </c>
      <c r="D130" s="31" t="s">
        <v>2170</v>
      </c>
      <c r="E130" s="29" t="s">
        <v>2171</v>
      </c>
      <c r="F130" s="46" t="s">
        <v>2169</v>
      </c>
      <c r="G130" s="48" t="s">
        <v>2325</v>
      </c>
    </row>
    <row r="131" spans="1:7" x14ac:dyDescent="0.35">
      <c r="A131" s="26" t="s">
        <v>2069</v>
      </c>
      <c r="B131" s="31" t="s">
        <v>2310</v>
      </c>
      <c r="C131" s="28" t="s">
        <v>1995</v>
      </c>
      <c r="D131" s="31" t="s">
        <v>2091</v>
      </c>
      <c r="E131" s="29" t="s">
        <v>2093</v>
      </c>
      <c r="F131" s="12" t="s">
        <v>2130</v>
      </c>
      <c r="G131" s="48" t="s">
        <v>2092</v>
      </c>
    </row>
    <row r="132" spans="1:7" x14ac:dyDescent="0.35">
      <c r="A132" s="26" t="s">
        <v>2362</v>
      </c>
      <c r="B132" s="31" t="s">
        <v>2183</v>
      </c>
      <c r="C132" s="28" t="s">
        <v>1995</v>
      </c>
      <c r="D132" s="31" t="s">
        <v>2091</v>
      </c>
      <c r="E132" s="29" t="s">
        <v>2184</v>
      </c>
      <c r="F132" s="12" t="s">
        <v>2103</v>
      </c>
      <c r="G132" s="48" t="s">
        <v>2092</v>
      </c>
    </row>
    <row r="133" spans="1:7" x14ac:dyDescent="0.35">
      <c r="A133" s="26" t="s">
        <v>2363</v>
      </c>
      <c r="B133" s="31" t="s">
        <v>2246</v>
      </c>
      <c r="C133" s="28" t="s">
        <v>1994</v>
      </c>
      <c r="D133" s="31" t="s">
        <v>2247</v>
      </c>
      <c r="E133" s="29" t="s">
        <v>2248</v>
      </c>
      <c r="F133" s="12" t="s">
        <v>2135</v>
      </c>
      <c r="G133" s="48" t="s">
        <v>2092</v>
      </c>
    </row>
    <row r="134" spans="1:7" x14ac:dyDescent="0.35">
      <c r="A134" s="26" t="s">
        <v>2364</v>
      </c>
      <c r="B134" s="31" t="s">
        <v>2187</v>
      </c>
      <c r="C134" s="28" t="s">
        <v>1995</v>
      </c>
      <c r="D134" s="31" t="s">
        <v>2188</v>
      </c>
      <c r="E134" s="29" t="s">
        <v>2184</v>
      </c>
      <c r="F134" s="12" t="s">
        <v>2103</v>
      </c>
      <c r="G134" s="48" t="s">
        <v>2092</v>
      </c>
    </row>
    <row r="135" spans="1:7" x14ac:dyDescent="0.35">
      <c r="A135" s="26" t="s">
        <v>2365</v>
      </c>
      <c r="B135" s="31" t="s">
        <v>2225</v>
      </c>
      <c r="C135" s="28" t="s">
        <v>1995</v>
      </c>
      <c r="D135" s="31" t="s">
        <v>2146</v>
      </c>
      <c r="E135" s="29" t="s">
        <v>2093</v>
      </c>
      <c r="F135" s="12" t="s">
        <v>2152</v>
      </c>
      <c r="G135" s="48" t="s">
        <v>2092</v>
      </c>
    </row>
    <row r="136" spans="1:7" x14ac:dyDescent="0.35">
      <c r="A136" s="26" t="s">
        <v>2366</v>
      </c>
      <c r="B136" s="31" t="s">
        <v>2276</v>
      </c>
      <c r="C136" s="28" t="s">
        <v>1994</v>
      </c>
      <c r="D136" s="31" t="s">
        <v>2142</v>
      </c>
      <c r="E136" s="29" t="s">
        <v>2099</v>
      </c>
      <c r="F136" s="12" t="s">
        <v>2097</v>
      </c>
      <c r="G136" s="48" t="s">
        <v>2092</v>
      </c>
    </row>
    <row r="137" spans="1:7" x14ac:dyDescent="0.35">
      <c r="A137" s="26" t="s">
        <v>2367</v>
      </c>
      <c r="B137" s="31" t="s">
        <v>2308</v>
      </c>
      <c r="C137" s="28" t="s">
        <v>1994</v>
      </c>
      <c r="D137" s="31" t="s">
        <v>2098</v>
      </c>
      <c r="E137" s="29" t="s">
        <v>2099</v>
      </c>
      <c r="F137" s="12" t="s">
        <v>2097</v>
      </c>
      <c r="G137" s="48" t="s">
        <v>2092</v>
      </c>
    </row>
    <row r="138" spans="1:7" x14ac:dyDescent="0.35">
      <c r="A138" s="36" t="s">
        <v>2368</v>
      </c>
      <c r="B138" s="37" t="s">
        <v>2239</v>
      </c>
      <c r="C138" s="28" t="s">
        <v>1995</v>
      </c>
      <c r="D138" s="37" t="s">
        <v>2193</v>
      </c>
      <c r="E138" s="38" t="s">
        <v>2194</v>
      </c>
      <c r="F138" s="49" t="s">
        <v>2103</v>
      </c>
      <c r="G138" s="48" t="s">
        <v>2092</v>
      </c>
    </row>
    <row r="139" spans="1:7" hidden="1" x14ac:dyDescent="0.35">
      <c r="A139" s="26" t="s">
        <v>105</v>
      </c>
      <c r="B139" s="31" t="s">
        <v>2369</v>
      </c>
      <c r="C139" s="28" t="s">
        <v>1994</v>
      </c>
      <c r="D139" s="31" t="s">
        <v>2119</v>
      </c>
      <c r="E139" s="29" t="s">
        <v>2177</v>
      </c>
      <c r="F139" s="12" t="s">
        <v>2113</v>
      </c>
      <c r="G139" s="12" t="s">
        <v>2325</v>
      </c>
    </row>
    <row r="140" spans="1:7" hidden="1" x14ac:dyDescent="0.35">
      <c r="A140" s="26" t="s">
        <v>310</v>
      </c>
      <c r="B140" s="31" t="s">
        <v>2370</v>
      </c>
      <c r="C140" s="28" t="s">
        <v>1995</v>
      </c>
      <c r="D140" s="31" t="s">
        <v>2104</v>
      </c>
      <c r="E140" s="29" t="s">
        <v>2093</v>
      </c>
      <c r="F140" s="12" t="s">
        <v>2371</v>
      </c>
      <c r="G140" s="12" t="s">
        <v>2325</v>
      </c>
    </row>
    <row r="141" spans="1:7" hidden="1" x14ac:dyDescent="0.35">
      <c r="A141" s="26" t="s">
        <v>72</v>
      </c>
      <c r="B141" s="31" t="s">
        <v>2372</v>
      </c>
      <c r="C141" s="28" t="s">
        <v>1995</v>
      </c>
      <c r="D141" s="31" t="s">
        <v>2146</v>
      </c>
      <c r="E141" s="29" t="s">
        <v>2093</v>
      </c>
      <c r="F141" s="12" t="s">
        <v>2373</v>
      </c>
      <c r="G141" s="12" t="s">
        <v>2325</v>
      </c>
    </row>
    <row r="142" spans="1:7" hidden="1" x14ac:dyDescent="0.35">
      <c r="A142" s="26" t="s">
        <v>299</v>
      </c>
      <c r="B142" s="31" t="s">
        <v>2374</v>
      </c>
      <c r="C142" s="28" t="s">
        <v>1995</v>
      </c>
      <c r="D142" s="31" t="s">
        <v>2091</v>
      </c>
      <c r="E142" s="29" t="s">
        <v>2093</v>
      </c>
      <c r="F142" s="12" t="s">
        <v>2113</v>
      </c>
      <c r="G142" s="12" t="s">
        <v>2325</v>
      </c>
    </row>
    <row r="143" spans="1:7" hidden="1" x14ac:dyDescent="0.35">
      <c r="A143" s="26" t="s">
        <v>954</v>
      </c>
      <c r="B143" s="31" t="s">
        <v>2375</v>
      </c>
      <c r="C143" s="28" t="s">
        <v>1995</v>
      </c>
      <c r="D143" s="31" t="s">
        <v>2091</v>
      </c>
      <c r="E143" s="29" t="s">
        <v>2184</v>
      </c>
      <c r="F143" s="12" t="s">
        <v>2103</v>
      </c>
      <c r="G143" s="12" t="s">
        <v>2325</v>
      </c>
    </row>
    <row r="144" spans="1:7" hidden="1" x14ac:dyDescent="0.35">
      <c r="A144" s="26" t="s">
        <v>494</v>
      </c>
      <c r="B144" s="31" t="s">
        <v>2376</v>
      </c>
      <c r="C144" s="28" t="s">
        <v>1995</v>
      </c>
      <c r="D144" s="31" t="s">
        <v>2193</v>
      </c>
      <c r="E144" s="29" t="s">
        <v>2194</v>
      </c>
      <c r="F144" s="12" t="s">
        <v>2216</v>
      </c>
      <c r="G144" s="12" t="s">
        <v>2325</v>
      </c>
    </row>
    <row r="145" spans="1:7" hidden="1" x14ac:dyDescent="0.35">
      <c r="A145" s="26" t="s">
        <v>416</v>
      </c>
      <c r="B145" s="31" t="s">
        <v>2377</v>
      </c>
      <c r="C145" s="28" t="s">
        <v>1995</v>
      </c>
      <c r="D145" s="31" t="s">
        <v>2091</v>
      </c>
      <c r="E145" s="29" t="s">
        <v>2093</v>
      </c>
      <c r="F145" s="12" t="s">
        <v>2371</v>
      </c>
      <c r="G145" s="12" t="s">
        <v>2325</v>
      </c>
    </row>
    <row r="146" spans="1:7" hidden="1" x14ac:dyDescent="0.35">
      <c r="A146" s="26" t="s">
        <v>226</v>
      </c>
      <c r="B146" s="31" t="s">
        <v>2378</v>
      </c>
      <c r="C146" s="28" t="s">
        <v>1995</v>
      </c>
      <c r="D146" s="31" t="s">
        <v>2091</v>
      </c>
      <c r="E146" s="29" t="s">
        <v>2184</v>
      </c>
      <c r="F146" s="12" t="s">
        <v>2371</v>
      </c>
      <c r="G146" s="12" t="s">
        <v>2325</v>
      </c>
    </row>
    <row r="147" spans="1:7" hidden="1" x14ac:dyDescent="0.35">
      <c r="A147" s="26" t="s">
        <v>16</v>
      </c>
      <c r="B147" s="31" t="s">
        <v>2379</v>
      </c>
      <c r="C147" s="28" t="s">
        <v>1995</v>
      </c>
      <c r="D147" s="31" t="s">
        <v>2193</v>
      </c>
      <c r="E147" s="29" t="s">
        <v>2194</v>
      </c>
      <c r="F147" s="12" t="s">
        <v>2373</v>
      </c>
      <c r="G147" s="12" t="s">
        <v>2325</v>
      </c>
    </row>
    <row r="148" spans="1:7" hidden="1" x14ac:dyDescent="0.35">
      <c r="A148" s="26" t="s">
        <v>381</v>
      </c>
      <c r="B148" s="31" t="s">
        <v>2380</v>
      </c>
      <c r="C148" s="28" t="s">
        <v>1995</v>
      </c>
      <c r="D148" s="31" t="s">
        <v>2091</v>
      </c>
      <c r="E148" s="29" t="s">
        <v>2093</v>
      </c>
      <c r="F148" s="12" t="s">
        <v>2103</v>
      </c>
      <c r="G148" s="12" t="s">
        <v>2325</v>
      </c>
    </row>
    <row r="149" spans="1:7" hidden="1" x14ac:dyDescent="0.35">
      <c r="A149" s="26" t="s">
        <v>1432</v>
      </c>
      <c r="B149" s="31" t="s">
        <v>2381</v>
      </c>
      <c r="C149" s="28" t="s">
        <v>1995</v>
      </c>
      <c r="D149" s="31" t="s">
        <v>2146</v>
      </c>
      <c r="E149" s="29" t="s">
        <v>2184</v>
      </c>
      <c r="F149" s="12" t="s">
        <v>2371</v>
      </c>
      <c r="G149" s="12" t="s">
        <v>2325</v>
      </c>
    </row>
    <row r="150" spans="1:7" hidden="1" x14ac:dyDescent="0.35">
      <c r="A150" s="26" t="s">
        <v>29</v>
      </c>
      <c r="B150" s="31" t="s">
        <v>2382</v>
      </c>
      <c r="C150" s="28" t="s">
        <v>1994</v>
      </c>
      <c r="D150" s="31" t="s">
        <v>2123</v>
      </c>
      <c r="E150" s="29" t="s">
        <v>2248</v>
      </c>
      <c r="F150" s="12" t="s">
        <v>2216</v>
      </c>
      <c r="G150" s="12" t="s">
        <v>2325</v>
      </c>
    </row>
    <row r="151" spans="1:7" hidden="1" x14ac:dyDescent="0.35">
      <c r="A151" s="26" t="s">
        <v>801</v>
      </c>
      <c r="B151" s="31" t="s">
        <v>2383</v>
      </c>
      <c r="C151" s="28" t="s">
        <v>1995</v>
      </c>
      <c r="D151" s="31" t="s">
        <v>2091</v>
      </c>
      <c r="E151" s="29" t="s">
        <v>2184</v>
      </c>
      <c r="F151" s="12" t="s">
        <v>2103</v>
      </c>
      <c r="G151" s="12" t="s">
        <v>2325</v>
      </c>
    </row>
    <row r="152" spans="1:7" hidden="1" x14ac:dyDescent="0.35">
      <c r="A152" s="26" t="s">
        <v>268</v>
      </c>
      <c r="B152" s="31" t="s">
        <v>2384</v>
      </c>
      <c r="C152" s="28" t="s">
        <v>1995</v>
      </c>
      <c r="D152" s="31" t="s">
        <v>2104</v>
      </c>
      <c r="E152" s="29" t="s">
        <v>2105</v>
      </c>
      <c r="F152" s="12" t="s">
        <v>2373</v>
      </c>
      <c r="G152" s="12" t="s">
        <v>2325</v>
      </c>
    </row>
    <row r="153" spans="1:7" hidden="1" x14ac:dyDescent="0.35">
      <c r="A153" s="26" t="s">
        <v>94</v>
      </c>
      <c r="B153" s="31" t="s">
        <v>2385</v>
      </c>
      <c r="C153" s="28" t="s">
        <v>1995</v>
      </c>
      <c r="D153" s="31" t="s">
        <v>2104</v>
      </c>
      <c r="E153" s="29" t="s">
        <v>2184</v>
      </c>
      <c r="F153" s="12" t="s">
        <v>2113</v>
      </c>
      <c r="G153" s="12" t="s">
        <v>2325</v>
      </c>
    </row>
    <row r="154" spans="1:7" hidden="1" x14ac:dyDescent="0.35">
      <c r="A154" s="36" t="s">
        <v>35</v>
      </c>
      <c r="B154" s="37" t="s">
        <v>2386</v>
      </c>
      <c r="C154" s="28" t="s">
        <v>1995</v>
      </c>
      <c r="D154" s="37" t="s">
        <v>2091</v>
      </c>
      <c r="E154" s="38" t="s">
        <v>2093</v>
      </c>
      <c r="F154" s="49" t="s">
        <v>2103</v>
      </c>
      <c r="G154" s="49" t="s">
        <v>2325</v>
      </c>
    </row>
    <row r="155" spans="1:7" x14ac:dyDescent="0.35">
      <c r="A155" s="26" t="s">
        <v>1231</v>
      </c>
      <c r="B155" s="26" t="s">
        <v>1231</v>
      </c>
      <c r="C155" s="28" t="s">
        <v>1995</v>
      </c>
      <c r="D155" s="31" t="s">
        <v>2156</v>
      </c>
      <c r="E155" s="29" t="s">
        <v>2120</v>
      </c>
      <c r="F155" s="12" t="s">
        <v>2118</v>
      </c>
      <c r="G155" s="48" t="s">
        <v>2092</v>
      </c>
    </row>
    <row r="156" spans="1:7" x14ac:dyDescent="0.35">
      <c r="A156" s="26" t="s">
        <v>49</v>
      </c>
      <c r="B156" s="26" t="s">
        <v>49</v>
      </c>
      <c r="C156" s="28" t="s">
        <v>1995</v>
      </c>
      <c r="D156" s="31" t="s">
        <v>2091</v>
      </c>
      <c r="E156" s="29" t="s">
        <v>2093</v>
      </c>
      <c r="F156" s="12" t="s">
        <v>2090</v>
      </c>
      <c r="G156" s="48" t="s">
        <v>2092</v>
      </c>
    </row>
    <row r="157" spans="1:7" x14ac:dyDescent="0.35">
      <c r="A157" s="36" t="s">
        <v>555</v>
      </c>
      <c r="B157" s="37" t="s">
        <v>2387</v>
      </c>
      <c r="C157" s="28" t="s">
        <v>1994</v>
      </c>
      <c r="D157" s="37" t="s">
        <v>2144</v>
      </c>
      <c r="E157" s="38" t="s">
        <v>2127</v>
      </c>
      <c r="F157" s="49" t="s">
        <v>2126</v>
      </c>
      <c r="G157" s="49" t="s">
        <v>2325</v>
      </c>
    </row>
  </sheetData>
  <sortState xmlns:xlrd2="http://schemas.microsoft.com/office/spreadsheetml/2017/richdata2" ref="A156:A159">
    <sortCondition ref="A155:A159"/>
  </sortState>
  <conditionalFormatting sqref="A170:A1048576 A159 A1:A84 A86:A157 B155:B156">
    <cfRule type="duplicateValues" dxfId="1" priority="147"/>
  </conditionalFormatting>
  <conditionalFormatting sqref="B159:B1048576 B1:B154 A85 B157">
    <cfRule type="duplicateValues" dxfId="0" priority="142"/>
  </conditionalFormatting>
  <pageMargins left="0.7" right="0.7" top="0.75" bottom="0.75" header="0.3" footer="0.3"/>
  <pageSetup paperSize="257" orientation="portrait" horizontalDpi="300" verticalDpi="300"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0FC7CCC70C064E9900B3590F63DAE9" ma:contentTypeVersion="27" ma:contentTypeDescription="Create a new document." ma:contentTypeScope="" ma:versionID="ca676473bb30fe4fb4281c8bb9cec14b">
  <xsd:schema xmlns:xsd="http://www.w3.org/2001/XMLSchema" xmlns:xs="http://www.w3.org/2001/XMLSchema" xmlns:p="http://schemas.microsoft.com/office/2006/metadata/properties" xmlns:ns2="250753d9-5442-43a5-a534-09c5f2efdf2c" xmlns:ns3="51a419cb-2a71-4682-b3fa-72c3c1f248db" xmlns:ns4="07e397c1-4dcd-4254-bcef-c5032c2d906f" targetNamespace="http://schemas.microsoft.com/office/2006/metadata/properties" ma:root="true" ma:fieldsID="8b766a013ebe197f38fee07812cb095e" ns2:_="" ns3:_="" ns4:_="">
    <xsd:import namespace="250753d9-5442-43a5-a534-09c5f2efdf2c"/>
    <xsd:import namespace="51a419cb-2a71-4682-b3fa-72c3c1f248db"/>
    <xsd:import namespace="07e397c1-4dcd-4254-bcef-c5032c2d906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Location" minOccurs="0"/>
                <xsd:element ref="ns2:MediaLengthInSeconds" minOccurs="0"/>
                <xsd:element ref="ns2:MediaServiceAutoKeyPoints" minOccurs="0"/>
                <xsd:element ref="ns2:MediaServiceKeyPoints" minOccurs="0"/>
                <xsd:element ref="ns2:lcf76f155ced4ddcb4097134ff3c332f" minOccurs="0"/>
                <xsd:element ref="ns4:TaxCatchAll" minOccurs="0"/>
                <xsd:element ref="ns2:_x00da_ltima_x0020_modifica_x00e7__x00e3_o" minOccurs="0"/>
                <xsd:element ref="ns2:MediaServiceObjectDetectorVersions" minOccurs="0"/>
                <xsd:element ref="ns2:ArchiverLinkFileType" minOccurs="0"/>
                <xsd:element ref="ns2:MediaServiceSearchProperties" minOccurs="0"/>
                <xsd:element ref="ns2:MediaServiceBillingMetadata" minOccurs="0"/>
                <xsd:element ref="ns2:Imag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0753d9-5442-43a5-a534-09c5f2efdf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0b5f185-b19a-4336-a4ec-f1b99802f1ef" ma:termSetId="09814cd3-568e-fe90-9814-8d621ff8fb84" ma:anchorId="fba54fb3-c3e1-fe81-a776-ca4b69148c4d" ma:open="true" ma:isKeyword="false">
      <xsd:complexType>
        <xsd:sequence>
          <xsd:element ref="pc:Terms" minOccurs="0" maxOccurs="1"/>
        </xsd:sequence>
      </xsd:complexType>
    </xsd:element>
    <xsd:element name="_x00da_ltima_x0020_modifica_x00e7__x00e3_o" ma:index="24" nillable="true" ma:displayName="Última modificação" ma:format="DateTime" ma:internalName="_x00da_ltima_x0020_modifica_x00e7__x00e3_o">
      <xsd:simpleType>
        <xsd:restriction base="dms:DateTim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ArchiverLinkFileType" ma:index="26" nillable="true" ma:displayName="ArchiverLinkFileType" ma:hidden="true" ma:internalName="ArchiverLinkFileTyp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Imagem" ma:index="29" nillable="true" ma:displayName="Imagem" ma:format="Thumbnail" ma:internalName="Imagem">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1a419cb-2a71-4682-b3fa-72c3c1f248d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e397c1-4dcd-4254-bcef-c5032c2d906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70ae5ff-5c58-40b1-a0e6-7005e6f02533}" ma:internalName="TaxCatchAll" ma:showField="CatchAllData" ma:web="51a419cb-2a71-4682-b3fa-72c3c1f248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50753d9-5442-43a5-a534-09c5f2efdf2c">
      <Terms xmlns="http://schemas.microsoft.com/office/infopath/2007/PartnerControls"/>
    </lcf76f155ced4ddcb4097134ff3c332f>
    <ArchiverLinkFileType xmlns="250753d9-5442-43a5-a534-09c5f2efdf2c" xsi:nil="true"/>
    <TaxCatchAll xmlns="07e397c1-4dcd-4254-bcef-c5032c2d906f" xsi:nil="true"/>
    <_x00da_ltima_x0020_modifica_x00e7__x00e3_o xmlns="250753d9-5442-43a5-a534-09c5f2efdf2c" xsi:nil="true"/>
    <Imagem xmlns="250753d9-5442-43a5-a534-09c5f2efdf2c" xsi:nil="true"/>
  </documentManagement>
</p:properties>
</file>

<file path=customXml/item4.xml><?xml version="1.0" encoding="utf-8"?>
<?mso-contentType ?>
<SharedContentType xmlns="Microsoft.SharePoint.Taxonomy.ContentTypeSync" SourceId="00b5f185-b19a-4336-a4ec-f1b99802f1ef" ContentTypeId="0x01" PreviousValue="false"/>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EBC452-F9F4-40F7-899D-1BDB4A34B9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0753d9-5442-43a5-a534-09c5f2efdf2c"/>
    <ds:schemaRef ds:uri="51a419cb-2a71-4682-b3fa-72c3c1f248db"/>
    <ds:schemaRef ds:uri="07e397c1-4dcd-4254-bcef-c5032c2d90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D937EE-28A0-4AB0-B7AB-2FAFFEC31FFF}">
  <ds:schemaRefs>
    <ds:schemaRef ds:uri="http://schemas.microsoft.com/DataMashup"/>
  </ds:schemaRefs>
</ds:datastoreItem>
</file>

<file path=customXml/itemProps3.xml><?xml version="1.0" encoding="utf-8"?>
<ds:datastoreItem xmlns:ds="http://schemas.openxmlformats.org/officeDocument/2006/customXml" ds:itemID="{7375A565-D261-4D20-A65B-D5D5938249A9}">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250753d9-5442-43a5-a534-09c5f2efdf2c"/>
    <ds:schemaRef ds:uri="http://purl.org/dc/elements/1.1/"/>
    <ds:schemaRef ds:uri="http://schemas.microsoft.com/office/2006/metadata/properties"/>
    <ds:schemaRef ds:uri="07e397c1-4dcd-4254-bcef-c5032c2d906f"/>
    <ds:schemaRef ds:uri="51a419cb-2a71-4682-b3fa-72c3c1f248db"/>
    <ds:schemaRef ds:uri="http://www.w3.org/XML/1998/namespace"/>
    <ds:schemaRef ds:uri="http://purl.org/dc/dcmitype/"/>
  </ds:schemaRefs>
</ds:datastoreItem>
</file>

<file path=customXml/itemProps4.xml><?xml version="1.0" encoding="utf-8"?>
<ds:datastoreItem xmlns:ds="http://schemas.openxmlformats.org/officeDocument/2006/customXml" ds:itemID="{5526F1F0-97FE-4B32-A89B-61FA37AF792A}">
  <ds:schemaRefs>
    <ds:schemaRef ds:uri="Microsoft.SharePoint.Taxonomy.ContentTypeSync"/>
  </ds:schemaRefs>
</ds:datastoreItem>
</file>

<file path=customXml/itemProps5.xml><?xml version="1.0" encoding="utf-8"?>
<ds:datastoreItem xmlns:ds="http://schemas.openxmlformats.org/officeDocument/2006/customXml" ds:itemID="{D9188206-CCD9-4EBA-9CAD-260C4B789B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9</vt:i4>
      </vt:variant>
    </vt:vector>
  </HeadingPairs>
  <TitlesOfParts>
    <vt:vector size="9" baseType="lpstr">
      <vt:lpstr>Ideias Canceladas</vt:lpstr>
      <vt:lpstr>tabela ideias</vt:lpstr>
      <vt:lpstr>% Operação x adm</vt:lpstr>
      <vt:lpstr>Taxa de Implementação</vt:lpstr>
      <vt:lpstr>Ideias por categorias</vt:lpstr>
      <vt:lpstr>Ideias por associado</vt:lpstr>
      <vt:lpstr>Ideias-area</vt:lpstr>
      <vt:lpstr>CADASTRO</vt:lpstr>
      <vt:lpstr>BASE DMOS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Pereira, Jhonnathan</cp:lastModifiedBy>
  <cp:revision/>
  <dcterms:created xsi:type="dcterms:W3CDTF">2025-08-13T17:46:44Z</dcterms:created>
  <dcterms:modified xsi:type="dcterms:W3CDTF">2026-10-02T14:03:50Z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0x010100DE0FC7CCC70C064E9900B3590F63DAE9</vt:lpwstr>
  </property>
  <property fmtid="{D5CDD505-2E9C-101B-9397-08002B2CF9AE}" pid="3" name="MediaServiceImageTags">
    <vt:lpwstr/>
  </property>
</Properties>
</file>